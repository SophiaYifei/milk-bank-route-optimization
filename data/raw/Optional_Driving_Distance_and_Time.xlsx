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8daca6f10bd6ec/00 - Analytics for Good/Milk Banks Work/INFORMS Case Competition/"/>
    </mc:Choice>
  </mc:AlternateContent>
  <xr:revisionPtr revIDLastSave="0" documentId="8_{A1E0AAC8-9D25-1D46-9BC9-E15DED25F375}" xr6:coauthVersionLast="47" xr6:coauthVersionMax="47" xr10:uidLastSave="{00000000-0000-0000-0000-000000000000}"/>
  <bookViews>
    <workbookView xWindow="4440" yWindow="1760" windowWidth="24960" windowHeight="15620" xr2:uid="{C321DBD4-7AF7-874A-A02B-EC59D0D84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</calcChain>
</file>

<file path=xl/sharedStrings.xml><?xml version="1.0" encoding="utf-8"?>
<sst xmlns="http://schemas.openxmlformats.org/spreadsheetml/2006/main" count="2669" uniqueCount="42">
  <si>
    <t>Alliance Health Woodward</t>
  </si>
  <si>
    <t>McAlester Regional Health</t>
  </si>
  <si>
    <t>Jackson County Altus</t>
  </si>
  <si>
    <t>Carter County Health Department</t>
  </si>
  <si>
    <t>McIntosh County</t>
  </si>
  <si>
    <t>Pontotoc County</t>
  </si>
  <si>
    <t>Custer County</t>
  </si>
  <si>
    <t>Beckham County</t>
  </si>
  <si>
    <t>Grady County</t>
  </si>
  <si>
    <t>Garfield County Health Department</t>
  </si>
  <si>
    <t>Comanche County Memorial Hospital</t>
  </si>
  <si>
    <t>Andrew County</t>
  </si>
  <si>
    <t>South Central Medical Center</t>
  </si>
  <si>
    <t>Washington Regional Medical Center</t>
  </si>
  <si>
    <t>Flint Hills- Riley County Health Department</t>
  </si>
  <si>
    <t>Kansas Birth Justice Society</t>
  </si>
  <si>
    <t>Salina Regional</t>
  </si>
  <si>
    <t>Southeast KS Health Department</t>
  </si>
  <si>
    <t>Woven Leaf</t>
  </si>
  <si>
    <t>Shawnee Mission MC</t>
  </si>
  <si>
    <t>KUMC - Kansas Health Systems – St. Francis Campus</t>
  </si>
  <si>
    <t>KUMC - University of Kansas Health System</t>
  </si>
  <si>
    <t>YWCA East</t>
  </si>
  <si>
    <t>YWCA South</t>
  </si>
  <si>
    <t>Jane Phillips Medical Center</t>
  </si>
  <si>
    <t>St. John Owasso</t>
  </si>
  <si>
    <t>Tulsa Hillcrest Hospital</t>
  </si>
  <si>
    <t>OBI</t>
  </si>
  <si>
    <t>OU Children’s Hospital</t>
  </si>
  <si>
    <t>St. Anthony Shawnee Hospital</t>
  </si>
  <si>
    <t>Canadian Valley</t>
  </si>
  <si>
    <t>Edmond Hope Center</t>
  </si>
  <si>
    <t>Variety Care- Lafayette</t>
  </si>
  <si>
    <t>Cleveland County Moore</t>
  </si>
  <si>
    <t>Integris Baptist</t>
  </si>
  <si>
    <t>Integris Southwest</t>
  </si>
  <si>
    <t>Oklahoma Mothers’ Milk Bank</t>
  </si>
  <si>
    <t>Driving Distance (miles)</t>
  </si>
  <si>
    <t>Driving Time (minutes)</t>
  </si>
  <si>
    <t>Depot 2 Designation</t>
  </si>
  <si>
    <t>Depot 1 Designation</t>
  </si>
  <si>
    <t>Pair_key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</si>
</sst>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B973-B3DC-3E4A-BE9B-77EE00E9AEAC}">
  <dimension ref="A1:E1333"/>
  <sheetViews>
    <sheetView tabSelected="1" topLeftCell="B1" workbookViewId="0">
      <selection activeCell="D1" sqref="D1"/>
    </sheetView>
  </sheetViews>
  <sheetFormatPr baseColWidth="10" defaultColWidth="8.83203125" defaultRowHeight="16" x14ac:dyDescent="0.2"/>
  <cols>
    <col min="1" max="1" width="0" hidden="1" customWidth="1"/>
    <col min="2" max="3" width="40.6640625" bestFit="1" customWidth="1"/>
    <col min="4" max="4" width="18.6640625" bestFit="1" customWidth="1"/>
    <col min="5" max="5" width="19.33203125" bestFit="1" customWidth="1"/>
  </cols>
  <sheetData>
    <row r="1" spans="1:5" x14ac:dyDescent="0.2">
      <c r="A1" t="s">
        <v>41</v>
      </c>
      <c r="B1" s="1" t="s">
        <v>40</v>
      </c>
      <c r="C1" s="1" t="s">
        <v>39</v>
      </c>
      <c r="D1" s="1" t="s">
        <v>38</v>
      </c>
      <c r="E1" s="1" t="s">
        <v>37</v>
      </c>
    </row>
    <row r="2" spans="1:5" x14ac:dyDescent="0.2">
      <c r="A2" t="str">
        <f t="shared" ref="A2:A65" si="0">CONCATENATE(B2,"|",C2)</f>
        <v>Oklahoma Mothers’ Milk Bank|Integris Southwest</v>
      </c>
      <c r="B2" t="s">
        <v>36</v>
      </c>
      <c r="C2" t="s">
        <v>35</v>
      </c>
      <c r="D2">
        <v>12.41666666666667</v>
      </c>
      <c r="E2">
        <v>6.7436999999999996</v>
      </c>
    </row>
    <row r="3" spans="1:5" x14ac:dyDescent="0.2">
      <c r="A3" t="str">
        <f t="shared" si="0"/>
        <v>Oklahoma Mothers’ Milk Bank|Integris Baptist</v>
      </c>
      <c r="B3" t="s">
        <v>36</v>
      </c>
      <c r="C3" t="s">
        <v>34</v>
      </c>
      <c r="D3">
        <v>14.05</v>
      </c>
      <c r="E3">
        <v>8.8165999999999993</v>
      </c>
    </row>
    <row r="4" spans="1:5" x14ac:dyDescent="0.2">
      <c r="A4" t="str">
        <f t="shared" si="0"/>
        <v>Oklahoma Mothers’ Milk Bank|Cleveland County Moore</v>
      </c>
      <c r="B4" t="s">
        <v>36</v>
      </c>
      <c r="C4" t="s">
        <v>33</v>
      </c>
      <c r="D4">
        <v>19.383333333333329</v>
      </c>
      <c r="E4">
        <v>11.445</v>
      </c>
    </row>
    <row r="5" spans="1:5" x14ac:dyDescent="0.2">
      <c r="A5" t="str">
        <f t="shared" si="0"/>
        <v>Oklahoma Mothers’ Milk Bank|Variety Care- Lafayette</v>
      </c>
      <c r="B5" t="s">
        <v>36</v>
      </c>
      <c r="C5" t="s">
        <v>32</v>
      </c>
      <c r="D5">
        <v>13.2</v>
      </c>
      <c r="E5">
        <v>7.4378000000000002</v>
      </c>
    </row>
    <row r="6" spans="1:5" x14ac:dyDescent="0.2">
      <c r="A6" t="str">
        <f t="shared" si="0"/>
        <v>Oklahoma Mothers’ Milk Bank|Edmond Hope Center</v>
      </c>
      <c r="B6" t="s">
        <v>36</v>
      </c>
      <c r="C6" t="s">
        <v>31</v>
      </c>
      <c r="D6">
        <v>20.93333333333333</v>
      </c>
      <c r="E6">
        <v>15.1602</v>
      </c>
    </row>
    <row r="7" spans="1:5" x14ac:dyDescent="0.2">
      <c r="A7" t="str">
        <f t="shared" si="0"/>
        <v>Oklahoma Mothers’ Milk Bank|Canadian Valley</v>
      </c>
      <c r="B7" t="s">
        <v>36</v>
      </c>
      <c r="C7" t="s">
        <v>30</v>
      </c>
      <c r="D7">
        <v>22.43333333333333</v>
      </c>
      <c r="E7">
        <v>18.475200000000001</v>
      </c>
    </row>
    <row r="8" spans="1:5" x14ac:dyDescent="0.2">
      <c r="A8" t="str">
        <f t="shared" si="0"/>
        <v>Oklahoma Mothers’ Milk Bank|St. Anthony Shawnee Hospital</v>
      </c>
      <c r="B8" t="s">
        <v>36</v>
      </c>
      <c r="C8" t="s">
        <v>29</v>
      </c>
      <c r="D8">
        <v>38.43333333333333</v>
      </c>
      <c r="E8">
        <v>37.013800000000003</v>
      </c>
    </row>
    <row r="9" spans="1:5" x14ac:dyDescent="0.2">
      <c r="A9" t="str">
        <f t="shared" si="0"/>
        <v>Oklahoma Mothers’ Milk Bank|OU Children’s Hospital</v>
      </c>
      <c r="B9" t="s">
        <v>36</v>
      </c>
      <c r="C9" t="s">
        <v>28</v>
      </c>
      <c r="D9">
        <v>3.2666666666666671</v>
      </c>
      <c r="E9">
        <v>0.55300000000000005</v>
      </c>
    </row>
    <row r="10" spans="1:5" x14ac:dyDescent="0.2">
      <c r="A10" t="str">
        <f t="shared" si="0"/>
        <v>Oklahoma Mothers’ Milk Bank|OBI</v>
      </c>
      <c r="B10" t="s">
        <v>36</v>
      </c>
      <c r="C10" t="s">
        <v>27</v>
      </c>
      <c r="D10">
        <v>91.033333333333331</v>
      </c>
      <c r="E10">
        <v>105.0919</v>
      </c>
    </row>
    <row r="11" spans="1:5" x14ac:dyDescent="0.2">
      <c r="A11" t="str">
        <f t="shared" si="0"/>
        <v>Oklahoma Mothers’ Milk Bank|Tulsa Hillcrest Hospital</v>
      </c>
      <c r="B11" t="s">
        <v>36</v>
      </c>
      <c r="C11" t="s">
        <v>26</v>
      </c>
      <c r="D11">
        <v>91.816666666666663</v>
      </c>
      <c r="E11">
        <v>105.56480000000001</v>
      </c>
    </row>
    <row r="12" spans="1:5" x14ac:dyDescent="0.2">
      <c r="A12" t="str">
        <f t="shared" si="0"/>
        <v>Oklahoma Mothers’ Milk Bank|St. John Owasso</v>
      </c>
      <c r="B12" t="s">
        <v>36</v>
      </c>
      <c r="C12" t="s">
        <v>25</v>
      </c>
      <c r="D12">
        <v>106.51666666666669</v>
      </c>
      <c r="E12">
        <v>121.7689</v>
      </c>
    </row>
    <row r="13" spans="1:5" x14ac:dyDescent="0.2">
      <c r="A13" t="str">
        <f t="shared" si="0"/>
        <v>Oklahoma Mothers’ Milk Bank|Jane Phillips Medical Center</v>
      </c>
      <c r="B13" t="s">
        <v>36</v>
      </c>
      <c r="C13" t="s">
        <v>24</v>
      </c>
      <c r="D13">
        <v>128.2166666666667</v>
      </c>
      <c r="E13">
        <v>147.29730000000001</v>
      </c>
    </row>
    <row r="14" spans="1:5" x14ac:dyDescent="0.2">
      <c r="A14" t="str">
        <f t="shared" si="0"/>
        <v>Oklahoma Mothers’ Milk Bank|YWCA South</v>
      </c>
      <c r="B14" t="s">
        <v>36</v>
      </c>
      <c r="C14" t="s">
        <v>23</v>
      </c>
      <c r="D14">
        <v>91.13333333333334</v>
      </c>
      <c r="E14">
        <v>106.0457</v>
      </c>
    </row>
    <row r="15" spans="1:5" x14ac:dyDescent="0.2">
      <c r="A15" t="str">
        <f t="shared" si="0"/>
        <v>Oklahoma Mothers’ Milk Bank|YWCA East</v>
      </c>
      <c r="B15" t="s">
        <v>36</v>
      </c>
      <c r="C15" t="s">
        <v>22</v>
      </c>
      <c r="D15">
        <v>95.11666666666666</v>
      </c>
      <c r="E15">
        <v>108.87909999999999</v>
      </c>
    </row>
    <row r="16" spans="1:5" x14ac:dyDescent="0.2">
      <c r="A16" t="str">
        <f t="shared" si="0"/>
        <v>Oklahoma Mothers’ Milk Bank|KUMC - University of Kansas Health System</v>
      </c>
      <c r="B16" t="s">
        <v>36</v>
      </c>
      <c r="C16" t="s">
        <v>21</v>
      </c>
      <c r="D16">
        <v>282.21666666666658</v>
      </c>
      <c r="E16">
        <v>344.6703</v>
      </c>
    </row>
    <row r="17" spans="1:5" x14ac:dyDescent="0.2">
      <c r="A17" t="str">
        <f t="shared" si="0"/>
        <v>Oklahoma Mothers’ Milk Bank|KUMC - Kansas Health Systems – St. Francis Campus</v>
      </c>
      <c r="B17" t="s">
        <v>36</v>
      </c>
      <c r="C17" t="s">
        <v>20</v>
      </c>
      <c r="D17">
        <v>241.75</v>
      </c>
      <c r="E17">
        <v>291.1062</v>
      </c>
    </row>
    <row r="18" spans="1:5" x14ac:dyDescent="0.2">
      <c r="A18" t="str">
        <f t="shared" si="0"/>
        <v>Oklahoma Mothers’ Milk Bank|Shawnee Mission MC</v>
      </c>
      <c r="B18" t="s">
        <v>36</v>
      </c>
      <c r="C18" t="s">
        <v>19</v>
      </c>
      <c r="D18">
        <v>273.83333333333331</v>
      </c>
      <c r="E18">
        <v>336.23579999999998</v>
      </c>
    </row>
    <row r="19" spans="1:5" x14ac:dyDescent="0.2">
      <c r="A19" t="str">
        <f t="shared" si="0"/>
        <v>Oklahoma Mothers’ Milk Bank|Woven Leaf</v>
      </c>
      <c r="B19" t="s">
        <v>36</v>
      </c>
      <c r="C19" t="s">
        <v>18</v>
      </c>
      <c r="D19">
        <v>208.73333333333329</v>
      </c>
      <c r="E19">
        <v>227.53739999999999</v>
      </c>
    </row>
    <row r="20" spans="1:5" x14ac:dyDescent="0.2">
      <c r="A20" t="str">
        <f t="shared" si="0"/>
        <v>Oklahoma Mothers’ Milk Bank|Southeast KS Health Department</v>
      </c>
      <c r="B20" t="s">
        <v>36</v>
      </c>
      <c r="C20" t="s">
        <v>17</v>
      </c>
      <c r="D20">
        <v>224.05</v>
      </c>
      <c r="E20">
        <v>244.5531</v>
      </c>
    </row>
    <row r="21" spans="1:5" x14ac:dyDescent="0.2">
      <c r="A21" t="str">
        <f t="shared" si="0"/>
        <v>Oklahoma Mothers’ Milk Bank|Salina Regional</v>
      </c>
      <c r="B21" t="s">
        <v>36</v>
      </c>
      <c r="C21" t="s">
        <v>16</v>
      </c>
      <c r="D21">
        <v>207.45</v>
      </c>
      <c r="E21">
        <v>245.80510000000001</v>
      </c>
    </row>
    <row r="22" spans="1:5" x14ac:dyDescent="0.2">
      <c r="A22" t="str">
        <f t="shared" si="0"/>
        <v>Oklahoma Mothers’ Milk Bank|Kansas Birth Justice Society</v>
      </c>
      <c r="B22" t="s">
        <v>36</v>
      </c>
      <c r="C22" t="s">
        <v>15</v>
      </c>
      <c r="D22">
        <v>134.94999999999999</v>
      </c>
      <c r="E22">
        <v>158.6044</v>
      </c>
    </row>
    <row r="23" spans="1:5" x14ac:dyDescent="0.2">
      <c r="A23" t="str">
        <f t="shared" si="0"/>
        <v>Oklahoma Mothers’ Milk Bank|Flint Hills- Riley County Health Department</v>
      </c>
      <c r="B23" t="s">
        <v>36</v>
      </c>
      <c r="C23" t="s">
        <v>14</v>
      </c>
      <c r="D23">
        <v>249.6166666666667</v>
      </c>
      <c r="E23">
        <v>288.91269999999997</v>
      </c>
    </row>
    <row r="24" spans="1:5" x14ac:dyDescent="0.2">
      <c r="A24" t="str">
        <f t="shared" si="0"/>
        <v>Oklahoma Mothers’ Milk Bank|Washington Regional Medical Center</v>
      </c>
      <c r="B24" t="s">
        <v>36</v>
      </c>
      <c r="C24" t="s">
        <v>13</v>
      </c>
      <c r="D24">
        <v>191.06666666666669</v>
      </c>
      <c r="E24">
        <v>213.3031</v>
      </c>
    </row>
    <row r="25" spans="1:5" x14ac:dyDescent="0.2">
      <c r="A25" t="str">
        <f t="shared" si="0"/>
        <v>Oklahoma Mothers’ Milk Bank|South Central Medical Center</v>
      </c>
      <c r="B25" t="s">
        <v>36</v>
      </c>
      <c r="C25" t="s">
        <v>12</v>
      </c>
      <c r="D25">
        <v>61.483333333333327</v>
      </c>
      <c r="E25">
        <v>54.574399999999997</v>
      </c>
    </row>
    <row r="26" spans="1:5" x14ac:dyDescent="0.2">
      <c r="A26" t="str">
        <f t="shared" si="0"/>
        <v>Oklahoma Mothers’ Milk Bank|Andrew County</v>
      </c>
      <c r="B26" t="s">
        <v>36</v>
      </c>
      <c r="C26" t="s">
        <v>11</v>
      </c>
      <c r="D26">
        <v>324.64999999999998</v>
      </c>
      <c r="E26">
        <v>398.3648</v>
      </c>
    </row>
    <row r="27" spans="1:5" x14ac:dyDescent="0.2">
      <c r="A27" t="str">
        <f t="shared" si="0"/>
        <v>Oklahoma Mothers’ Milk Bank|Comanche County Memorial Hospital</v>
      </c>
      <c r="B27" t="s">
        <v>36</v>
      </c>
      <c r="C27" t="s">
        <v>10</v>
      </c>
      <c r="D27">
        <v>81.45</v>
      </c>
      <c r="E27">
        <v>91.144000000000005</v>
      </c>
    </row>
    <row r="28" spans="1:5" x14ac:dyDescent="0.2">
      <c r="A28" t="str">
        <f t="shared" si="0"/>
        <v>Oklahoma Mothers’ Milk Bank|Garfield County Health Department</v>
      </c>
      <c r="B28" t="s">
        <v>36</v>
      </c>
      <c r="C28" t="s">
        <v>9</v>
      </c>
      <c r="D28">
        <v>87.45</v>
      </c>
      <c r="E28">
        <v>85.334800000000001</v>
      </c>
    </row>
    <row r="29" spans="1:5" x14ac:dyDescent="0.2">
      <c r="A29" t="str">
        <f t="shared" si="0"/>
        <v>Oklahoma Mothers’ Milk Bank|Grady County</v>
      </c>
      <c r="B29" t="s">
        <v>36</v>
      </c>
      <c r="C29" t="s">
        <v>8</v>
      </c>
      <c r="D29">
        <v>46.7</v>
      </c>
      <c r="E29">
        <v>46.889299999999999</v>
      </c>
    </row>
    <row r="30" spans="1:5" x14ac:dyDescent="0.2">
      <c r="A30" t="str">
        <f t="shared" si="0"/>
        <v>Oklahoma Mothers’ Milk Bank|Beckham County</v>
      </c>
      <c r="B30" t="s">
        <v>36</v>
      </c>
      <c r="C30" t="s">
        <v>7</v>
      </c>
      <c r="D30">
        <v>99.85</v>
      </c>
      <c r="E30">
        <v>114.7045</v>
      </c>
    </row>
    <row r="31" spans="1:5" x14ac:dyDescent="0.2">
      <c r="A31" t="str">
        <f t="shared" si="0"/>
        <v>Oklahoma Mothers’ Milk Bank|Custer County</v>
      </c>
      <c r="B31" t="s">
        <v>36</v>
      </c>
      <c r="C31" t="s">
        <v>6</v>
      </c>
      <c r="D31">
        <v>80.75</v>
      </c>
      <c r="E31">
        <v>89.132599999999996</v>
      </c>
    </row>
    <row r="32" spans="1:5" x14ac:dyDescent="0.2">
      <c r="A32" t="str">
        <f t="shared" si="0"/>
        <v>Oklahoma Mothers’ Milk Bank|Pontotoc County</v>
      </c>
      <c r="B32" t="s">
        <v>36</v>
      </c>
      <c r="C32" t="s">
        <v>5</v>
      </c>
      <c r="D32">
        <v>85.166666666666671</v>
      </c>
      <c r="E32">
        <v>86.113299999999995</v>
      </c>
    </row>
    <row r="33" spans="1:5" x14ac:dyDescent="0.2">
      <c r="A33" t="str">
        <f t="shared" si="0"/>
        <v>Oklahoma Mothers’ Milk Bank|McIntosh County</v>
      </c>
      <c r="B33" t="s">
        <v>36</v>
      </c>
      <c r="C33" t="s">
        <v>4</v>
      </c>
      <c r="D33">
        <v>99.88333333333334</v>
      </c>
      <c r="E33">
        <v>116.6631</v>
      </c>
    </row>
    <row r="34" spans="1:5" x14ac:dyDescent="0.2">
      <c r="A34" t="str">
        <f t="shared" si="0"/>
        <v>Oklahoma Mothers’ Milk Bank|Carter County Health Department</v>
      </c>
      <c r="B34" t="s">
        <v>36</v>
      </c>
      <c r="C34" t="s">
        <v>3</v>
      </c>
      <c r="D34">
        <v>89.933333333333337</v>
      </c>
      <c r="E34">
        <v>100.879</v>
      </c>
    </row>
    <row r="35" spans="1:5" x14ac:dyDescent="0.2">
      <c r="A35" t="str">
        <f t="shared" si="0"/>
        <v>Oklahoma Mothers’ Milk Bank|Jackson County Altus</v>
      </c>
      <c r="B35" t="s">
        <v>36</v>
      </c>
      <c r="C35" t="s">
        <v>2</v>
      </c>
      <c r="D35">
        <v>127.6333333333333</v>
      </c>
      <c r="E35">
        <v>142.7843</v>
      </c>
    </row>
    <row r="36" spans="1:5" x14ac:dyDescent="0.2">
      <c r="A36" t="str">
        <f t="shared" si="0"/>
        <v>Oklahoma Mothers’ Milk Bank|Alliance Health Woodward</v>
      </c>
      <c r="B36" t="s">
        <v>36</v>
      </c>
      <c r="C36" t="s">
        <v>0</v>
      </c>
      <c r="D36">
        <v>134.73333333333329</v>
      </c>
      <c r="E36">
        <v>143.3708</v>
      </c>
    </row>
    <row r="37" spans="1:5" x14ac:dyDescent="0.2">
      <c r="A37" t="str">
        <f t="shared" si="0"/>
        <v>Oklahoma Mothers’ Milk Bank|McAlester Regional Health</v>
      </c>
      <c r="B37" t="s">
        <v>36</v>
      </c>
      <c r="C37" t="s">
        <v>1</v>
      </c>
      <c r="D37">
        <v>114</v>
      </c>
      <c r="E37">
        <v>130.9633</v>
      </c>
    </row>
    <row r="38" spans="1:5" x14ac:dyDescent="0.2">
      <c r="A38" t="str">
        <f t="shared" si="0"/>
        <v>Integris Southwest|Oklahoma Mothers’ Milk Bank</v>
      </c>
      <c r="B38" t="s">
        <v>35</v>
      </c>
      <c r="C38" t="s">
        <v>36</v>
      </c>
      <c r="D38">
        <v>11.15</v>
      </c>
      <c r="E38">
        <v>7.0209000000000001</v>
      </c>
    </row>
    <row r="39" spans="1:5" x14ac:dyDescent="0.2">
      <c r="A39" t="str">
        <f t="shared" si="0"/>
        <v>Integris Southwest|Integris Baptist</v>
      </c>
      <c r="B39" t="s">
        <v>35</v>
      </c>
      <c r="C39" t="s">
        <v>34</v>
      </c>
      <c r="D39">
        <v>13.68333333333333</v>
      </c>
      <c r="E39">
        <v>10.390599999999999</v>
      </c>
    </row>
    <row r="40" spans="1:5" x14ac:dyDescent="0.2">
      <c r="A40" t="str">
        <f t="shared" si="0"/>
        <v>Integris Southwest|Cleveland County Moore</v>
      </c>
      <c r="B40" t="s">
        <v>35</v>
      </c>
      <c r="C40" t="s">
        <v>33</v>
      </c>
      <c r="D40">
        <v>13.46666666666667</v>
      </c>
      <c r="E40">
        <v>9.0310000000000006</v>
      </c>
    </row>
    <row r="41" spans="1:5" x14ac:dyDescent="0.2">
      <c r="A41" t="str">
        <f t="shared" si="0"/>
        <v>Integris Southwest|Variety Care- Lafayette</v>
      </c>
      <c r="B41" t="s">
        <v>35</v>
      </c>
      <c r="C41" t="s">
        <v>32</v>
      </c>
      <c r="D41">
        <v>1.8166666666666671</v>
      </c>
      <c r="E41">
        <v>0.67169999999999996</v>
      </c>
    </row>
    <row r="42" spans="1:5" x14ac:dyDescent="0.2">
      <c r="A42" t="str">
        <f t="shared" si="0"/>
        <v>Integris Southwest|Edmond Hope Center</v>
      </c>
      <c r="B42" t="s">
        <v>35</v>
      </c>
      <c r="C42" t="s">
        <v>31</v>
      </c>
      <c r="D42">
        <v>25.55</v>
      </c>
      <c r="E42">
        <v>20.462399999999999</v>
      </c>
    </row>
    <row r="43" spans="1:5" x14ac:dyDescent="0.2">
      <c r="A43" t="str">
        <f t="shared" si="0"/>
        <v>Integris Southwest|Canadian Valley</v>
      </c>
      <c r="B43" t="s">
        <v>35</v>
      </c>
      <c r="C43" t="s">
        <v>30</v>
      </c>
      <c r="D43">
        <v>19.616666666666671</v>
      </c>
      <c r="E43">
        <v>16.734100000000002</v>
      </c>
    </row>
    <row r="44" spans="1:5" x14ac:dyDescent="0.2">
      <c r="A44" t="str">
        <f t="shared" si="0"/>
        <v>Integris Southwest|St. Anthony Shawnee Hospital</v>
      </c>
      <c r="B44" t="s">
        <v>35</v>
      </c>
      <c r="C44" t="s">
        <v>29</v>
      </c>
      <c r="D44">
        <v>38.083333333333343</v>
      </c>
      <c r="E44">
        <v>38.492100000000001</v>
      </c>
    </row>
    <row r="45" spans="1:5" x14ac:dyDescent="0.2">
      <c r="A45" t="str">
        <f t="shared" si="0"/>
        <v>Integris Southwest|OU Children’s Hospital</v>
      </c>
      <c r="B45" t="s">
        <v>35</v>
      </c>
      <c r="C45" t="s">
        <v>28</v>
      </c>
      <c r="D45">
        <v>11.633333333333329</v>
      </c>
      <c r="E45">
        <v>6.8151999999999999</v>
      </c>
    </row>
    <row r="46" spans="1:5" x14ac:dyDescent="0.2">
      <c r="A46" t="str">
        <f t="shared" si="0"/>
        <v>Integris Southwest|OBI</v>
      </c>
      <c r="B46" t="s">
        <v>35</v>
      </c>
      <c r="C46" t="s">
        <v>27</v>
      </c>
      <c r="D46">
        <v>94.55</v>
      </c>
      <c r="E46">
        <v>110.60469999999999</v>
      </c>
    </row>
    <row r="47" spans="1:5" x14ac:dyDescent="0.2">
      <c r="A47" t="str">
        <f t="shared" si="0"/>
        <v>Integris Southwest|Tulsa Hillcrest Hospital</v>
      </c>
      <c r="B47" t="s">
        <v>35</v>
      </c>
      <c r="C47" t="s">
        <v>26</v>
      </c>
      <c r="D47">
        <v>95.333333333333329</v>
      </c>
      <c r="E47">
        <v>111.0776</v>
      </c>
    </row>
    <row r="48" spans="1:5" x14ac:dyDescent="0.2">
      <c r="A48" t="str">
        <f t="shared" si="0"/>
        <v>Integris Southwest|St. John Owasso</v>
      </c>
      <c r="B48" t="s">
        <v>35</v>
      </c>
      <c r="C48" t="s">
        <v>25</v>
      </c>
      <c r="D48">
        <v>110.0333333333333</v>
      </c>
      <c r="E48">
        <v>127.2817</v>
      </c>
    </row>
    <row r="49" spans="1:5" x14ac:dyDescent="0.2">
      <c r="A49" t="str">
        <f t="shared" si="0"/>
        <v>Integris Southwest|Jane Phillips Medical Center</v>
      </c>
      <c r="B49" t="s">
        <v>35</v>
      </c>
      <c r="C49" t="s">
        <v>24</v>
      </c>
      <c r="D49">
        <v>131.73333333333329</v>
      </c>
      <c r="E49">
        <v>152.81010000000001</v>
      </c>
    </row>
    <row r="50" spans="1:5" x14ac:dyDescent="0.2">
      <c r="A50" t="str">
        <f t="shared" si="0"/>
        <v>Integris Southwest|YWCA South</v>
      </c>
      <c r="B50" t="s">
        <v>35</v>
      </c>
      <c r="C50" t="s">
        <v>23</v>
      </c>
      <c r="D50">
        <v>94.65</v>
      </c>
      <c r="E50">
        <v>111.5585</v>
      </c>
    </row>
    <row r="51" spans="1:5" x14ac:dyDescent="0.2">
      <c r="A51" t="str">
        <f t="shared" si="0"/>
        <v>Integris Southwest|YWCA East</v>
      </c>
      <c r="B51" t="s">
        <v>35</v>
      </c>
      <c r="C51" t="s">
        <v>22</v>
      </c>
      <c r="D51">
        <v>98.63333333333334</v>
      </c>
      <c r="E51">
        <v>114.392</v>
      </c>
    </row>
    <row r="52" spans="1:5" x14ac:dyDescent="0.2">
      <c r="A52" t="str">
        <f t="shared" si="0"/>
        <v>Integris Southwest|KUMC - University of Kansas Health System</v>
      </c>
      <c r="B52" t="s">
        <v>35</v>
      </c>
      <c r="C52" t="s">
        <v>21</v>
      </c>
      <c r="D52">
        <v>285.73333333333329</v>
      </c>
      <c r="E52">
        <v>350.18310000000002</v>
      </c>
    </row>
    <row r="53" spans="1:5" x14ac:dyDescent="0.2">
      <c r="A53" t="str">
        <f t="shared" si="0"/>
        <v>Integris Southwest|KUMC - Kansas Health Systems – St. Francis Campus</v>
      </c>
      <c r="B53" t="s">
        <v>35</v>
      </c>
      <c r="C53" t="s">
        <v>20</v>
      </c>
      <c r="D53">
        <v>245.26666666666671</v>
      </c>
      <c r="E53">
        <v>296.61900000000003</v>
      </c>
    </row>
    <row r="54" spans="1:5" x14ac:dyDescent="0.2">
      <c r="A54" t="str">
        <f t="shared" si="0"/>
        <v>Integris Southwest|Shawnee Mission MC</v>
      </c>
      <c r="B54" t="s">
        <v>35</v>
      </c>
      <c r="C54" t="s">
        <v>19</v>
      </c>
      <c r="D54">
        <v>277.35000000000002</v>
      </c>
      <c r="E54">
        <v>341.74860000000001</v>
      </c>
    </row>
    <row r="55" spans="1:5" x14ac:dyDescent="0.2">
      <c r="A55" t="str">
        <f t="shared" si="0"/>
        <v>Integris Southwest|Woven Leaf</v>
      </c>
      <c r="B55" t="s">
        <v>35</v>
      </c>
      <c r="C55" t="s">
        <v>18</v>
      </c>
      <c r="D55">
        <v>212.25</v>
      </c>
      <c r="E55">
        <v>233.05019999999999</v>
      </c>
    </row>
    <row r="56" spans="1:5" x14ac:dyDescent="0.2">
      <c r="A56" t="str">
        <f t="shared" si="0"/>
        <v>Integris Southwest|Southeast KS Health Department</v>
      </c>
      <c r="B56" t="s">
        <v>35</v>
      </c>
      <c r="C56" t="s">
        <v>17</v>
      </c>
      <c r="D56">
        <v>227.56666666666669</v>
      </c>
      <c r="E56">
        <v>250.0659</v>
      </c>
    </row>
    <row r="57" spans="1:5" x14ac:dyDescent="0.2">
      <c r="A57" t="str">
        <f t="shared" si="0"/>
        <v>Integris Southwest|Salina Regional</v>
      </c>
      <c r="B57" t="s">
        <v>35</v>
      </c>
      <c r="C57" t="s">
        <v>16</v>
      </c>
      <c r="D57">
        <v>210.9666666666667</v>
      </c>
      <c r="E57">
        <v>251.31790000000001</v>
      </c>
    </row>
    <row r="58" spans="1:5" x14ac:dyDescent="0.2">
      <c r="A58" t="str">
        <f t="shared" si="0"/>
        <v>Integris Southwest|Kansas Birth Justice Society</v>
      </c>
      <c r="B58" t="s">
        <v>35</v>
      </c>
      <c r="C58" t="s">
        <v>15</v>
      </c>
      <c r="D58">
        <v>138.4666666666667</v>
      </c>
      <c r="E58">
        <v>164.1172</v>
      </c>
    </row>
    <row r="59" spans="1:5" x14ac:dyDescent="0.2">
      <c r="A59" t="str">
        <f t="shared" si="0"/>
        <v>Integris Southwest|Flint Hills- Riley County Health Department</v>
      </c>
      <c r="B59" t="s">
        <v>35</v>
      </c>
      <c r="C59" t="s">
        <v>14</v>
      </c>
      <c r="D59">
        <v>253.1333333333333</v>
      </c>
      <c r="E59">
        <v>294.42559999999997</v>
      </c>
    </row>
    <row r="60" spans="1:5" x14ac:dyDescent="0.2">
      <c r="A60" t="str">
        <f t="shared" si="0"/>
        <v>Integris Southwest|Washington Regional Medical Center</v>
      </c>
      <c r="B60" t="s">
        <v>35</v>
      </c>
      <c r="C60" t="s">
        <v>13</v>
      </c>
      <c r="D60">
        <v>194.58333333333329</v>
      </c>
      <c r="E60">
        <v>218.8159</v>
      </c>
    </row>
    <row r="61" spans="1:5" x14ac:dyDescent="0.2">
      <c r="A61" t="str">
        <f t="shared" si="0"/>
        <v>Integris Southwest|South Central Medical Center</v>
      </c>
      <c r="B61" t="s">
        <v>35</v>
      </c>
      <c r="C61" t="s">
        <v>12</v>
      </c>
      <c r="D61">
        <v>54.116666666666667</v>
      </c>
      <c r="E61">
        <v>48.26</v>
      </c>
    </row>
    <row r="62" spans="1:5" x14ac:dyDescent="0.2">
      <c r="A62" t="str">
        <f t="shared" si="0"/>
        <v>Integris Southwest|Andrew County</v>
      </c>
      <c r="B62" t="s">
        <v>35</v>
      </c>
      <c r="C62" t="s">
        <v>11</v>
      </c>
      <c r="D62">
        <v>328.16666666666669</v>
      </c>
      <c r="E62">
        <v>403.87759999999997</v>
      </c>
    </row>
    <row r="63" spans="1:5" x14ac:dyDescent="0.2">
      <c r="A63" t="str">
        <f t="shared" si="0"/>
        <v>Integris Southwest|Comanche County Memorial Hospital</v>
      </c>
      <c r="B63" t="s">
        <v>35</v>
      </c>
      <c r="C63" t="s">
        <v>10</v>
      </c>
      <c r="D63">
        <v>74.083333333333329</v>
      </c>
      <c r="E63">
        <v>84.829599999999999</v>
      </c>
    </row>
    <row r="64" spans="1:5" x14ac:dyDescent="0.2">
      <c r="A64" t="str">
        <f t="shared" si="0"/>
        <v>Integris Southwest|Garfield County Health Department</v>
      </c>
      <c r="B64" t="s">
        <v>35</v>
      </c>
      <c r="C64" t="s">
        <v>9</v>
      </c>
      <c r="D64">
        <v>87.266666666666666</v>
      </c>
      <c r="E64">
        <v>86.227099999999993</v>
      </c>
    </row>
    <row r="65" spans="1:5" x14ac:dyDescent="0.2">
      <c r="A65" t="str">
        <f t="shared" si="0"/>
        <v>Integris Southwest|Grady County</v>
      </c>
      <c r="B65" t="s">
        <v>35</v>
      </c>
      <c r="C65" t="s">
        <v>8</v>
      </c>
      <c r="D65">
        <v>39.333333333333343</v>
      </c>
      <c r="E65">
        <v>40.5749</v>
      </c>
    </row>
    <row r="66" spans="1:5" x14ac:dyDescent="0.2">
      <c r="A66" t="str">
        <f t="shared" ref="A66:A129" si="1">CONCATENATE(B66,"|",C66)</f>
        <v>Integris Southwest|Beckham County</v>
      </c>
      <c r="B66" t="s">
        <v>35</v>
      </c>
      <c r="C66" t="s">
        <v>7</v>
      </c>
      <c r="D66">
        <v>97.033333333333331</v>
      </c>
      <c r="E66">
        <v>112.96339999999999</v>
      </c>
    </row>
    <row r="67" spans="1:5" x14ac:dyDescent="0.2">
      <c r="A67" t="str">
        <f t="shared" si="1"/>
        <v>Integris Southwest|Custer County</v>
      </c>
      <c r="B67" t="s">
        <v>35</v>
      </c>
      <c r="C67" t="s">
        <v>6</v>
      </c>
      <c r="D67">
        <v>77.933333333333337</v>
      </c>
      <c r="E67">
        <v>87.391499999999994</v>
      </c>
    </row>
    <row r="68" spans="1:5" x14ac:dyDescent="0.2">
      <c r="A68" t="str">
        <f t="shared" si="1"/>
        <v>Integris Southwest|Pontotoc County</v>
      </c>
      <c r="B68" t="s">
        <v>35</v>
      </c>
      <c r="C68" t="s">
        <v>5</v>
      </c>
      <c r="D68">
        <v>84.816666666666663</v>
      </c>
      <c r="E68">
        <v>87.5916</v>
      </c>
    </row>
    <row r="69" spans="1:5" x14ac:dyDescent="0.2">
      <c r="A69" t="str">
        <f t="shared" si="1"/>
        <v>Integris Southwest|McIntosh County</v>
      </c>
      <c r="B69" t="s">
        <v>35</v>
      </c>
      <c r="C69" t="s">
        <v>4</v>
      </c>
      <c r="D69">
        <v>99.533333333333331</v>
      </c>
      <c r="E69">
        <v>118.1413</v>
      </c>
    </row>
    <row r="70" spans="1:5" x14ac:dyDescent="0.2">
      <c r="A70" t="str">
        <f t="shared" si="1"/>
        <v>Integris Southwest|Carter County Health Department</v>
      </c>
      <c r="B70" t="s">
        <v>35</v>
      </c>
      <c r="C70" t="s">
        <v>3</v>
      </c>
      <c r="D70">
        <v>87.583333333333329</v>
      </c>
      <c r="E70">
        <v>97.052599999999998</v>
      </c>
    </row>
    <row r="71" spans="1:5" x14ac:dyDescent="0.2">
      <c r="A71" t="str">
        <f t="shared" si="1"/>
        <v>Integris Southwest|Jackson County Altus</v>
      </c>
      <c r="B71" t="s">
        <v>35</v>
      </c>
      <c r="C71" t="s">
        <v>2</v>
      </c>
      <c r="D71">
        <v>120.26666666666669</v>
      </c>
      <c r="E71">
        <v>136.4699</v>
      </c>
    </row>
    <row r="72" spans="1:5" x14ac:dyDescent="0.2">
      <c r="A72" t="str">
        <f t="shared" si="1"/>
        <v>Integris Southwest|Alliance Health Woodward</v>
      </c>
      <c r="B72" t="s">
        <v>35</v>
      </c>
      <c r="C72" t="s">
        <v>0</v>
      </c>
      <c r="D72">
        <v>131.91666666666671</v>
      </c>
      <c r="E72">
        <v>141.62979999999999</v>
      </c>
    </row>
    <row r="73" spans="1:5" x14ac:dyDescent="0.2">
      <c r="A73" t="str">
        <f t="shared" si="1"/>
        <v>Integris Southwest|McAlester Regional Health</v>
      </c>
      <c r="B73" t="s">
        <v>35</v>
      </c>
      <c r="C73" t="s">
        <v>1</v>
      </c>
      <c r="D73">
        <v>113.65</v>
      </c>
      <c r="E73">
        <v>132.44149999999999</v>
      </c>
    </row>
    <row r="74" spans="1:5" x14ac:dyDescent="0.2">
      <c r="A74" t="str">
        <f t="shared" si="1"/>
        <v>Integris Baptist|Oklahoma Mothers’ Milk Bank</v>
      </c>
      <c r="B74" t="s">
        <v>34</v>
      </c>
      <c r="C74" t="s">
        <v>36</v>
      </c>
      <c r="D74">
        <v>12.85</v>
      </c>
      <c r="E74">
        <v>8.2548999999999992</v>
      </c>
    </row>
    <row r="75" spans="1:5" x14ac:dyDescent="0.2">
      <c r="A75" t="str">
        <f t="shared" si="1"/>
        <v>Integris Baptist|Integris Southwest</v>
      </c>
      <c r="B75" t="s">
        <v>34</v>
      </c>
      <c r="C75" t="s">
        <v>35</v>
      </c>
      <c r="D75">
        <v>13.85</v>
      </c>
      <c r="E75">
        <v>10.642200000000001</v>
      </c>
    </row>
    <row r="76" spans="1:5" x14ac:dyDescent="0.2">
      <c r="A76" t="str">
        <f t="shared" si="1"/>
        <v>Integris Baptist|Cleveland County Moore</v>
      </c>
      <c r="B76" t="s">
        <v>34</v>
      </c>
      <c r="C76" t="s">
        <v>33</v>
      </c>
      <c r="D76">
        <v>22.783333333333331</v>
      </c>
      <c r="E76">
        <v>19.817399999999999</v>
      </c>
    </row>
    <row r="77" spans="1:5" x14ac:dyDescent="0.2">
      <c r="A77" t="str">
        <f t="shared" si="1"/>
        <v>Integris Baptist|Variety Care- Lafayette</v>
      </c>
      <c r="B77" t="s">
        <v>34</v>
      </c>
      <c r="C77" t="s">
        <v>32</v>
      </c>
      <c r="D77">
        <v>15.66666666666667</v>
      </c>
      <c r="E77">
        <v>11.3139</v>
      </c>
    </row>
    <row r="78" spans="1:5" x14ac:dyDescent="0.2">
      <c r="A78" t="str">
        <f t="shared" si="1"/>
        <v>Integris Baptist|Edmond Hope Center</v>
      </c>
      <c r="B78" t="s">
        <v>34</v>
      </c>
      <c r="C78" t="s">
        <v>31</v>
      </c>
      <c r="D78">
        <v>20.583333333333329</v>
      </c>
      <c r="E78">
        <v>15.9208</v>
      </c>
    </row>
    <row r="79" spans="1:5" x14ac:dyDescent="0.2">
      <c r="A79" t="str">
        <f t="shared" si="1"/>
        <v>Integris Baptist|Canadian Valley</v>
      </c>
      <c r="B79" t="s">
        <v>34</v>
      </c>
      <c r="C79" t="s">
        <v>30</v>
      </c>
      <c r="D79">
        <v>19.416666666666671</v>
      </c>
      <c r="E79">
        <v>17.1126</v>
      </c>
    </row>
    <row r="80" spans="1:5" x14ac:dyDescent="0.2">
      <c r="A80" t="str">
        <f t="shared" si="1"/>
        <v>Integris Baptist|St. Anthony Shawnee Hospital</v>
      </c>
      <c r="B80" t="s">
        <v>34</v>
      </c>
      <c r="C80" t="s">
        <v>29</v>
      </c>
      <c r="D80">
        <v>44.383333333333333</v>
      </c>
      <c r="E80">
        <v>44.288200000000003</v>
      </c>
    </row>
    <row r="81" spans="1:5" x14ac:dyDescent="0.2">
      <c r="A81" t="str">
        <f t="shared" si="1"/>
        <v>Integris Baptist|OU Children’s Hospital</v>
      </c>
      <c r="B81" t="s">
        <v>34</v>
      </c>
      <c r="C81" t="s">
        <v>28</v>
      </c>
      <c r="D81">
        <v>13.383333333333329</v>
      </c>
      <c r="E81">
        <v>8.3773</v>
      </c>
    </row>
    <row r="82" spans="1:5" x14ac:dyDescent="0.2">
      <c r="A82" t="str">
        <f t="shared" si="1"/>
        <v>Integris Baptist|OBI</v>
      </c>
      <c r="B82" t="s">
        <v>34</v>
      </c>
      <c r="C82" t="s">
        <v>27</v>
      </c>
      <c r="D82">
        <v>90.533333333333331</v>
      </c>
      <c r="E82">
        <v>106.56950000000001</v>
      </c>
    </row>
    <row r="83" spans="1:5" x14ac:dyDescent="0.2">
      <c r="A83" t="str">
        <f t="shared" si="1"/>
        <v>Integris Baptist|Tulsa Hillcrest Hospital</v>
      </c>
      <c r="B83" t="s">
        <v>34</v>
      </c>
      <c r="C83" t="s">
        <v>26</v>
      </c>
      <c r="D83">
        <v>91.316666666666663</v>
      </c>
      <c r="E83">
        <v>107.0424</v>
      </c>
    </row>
    <row r="84" spans="1:5" x14ac:dyDescent="0.2">
      <c r="A84" t="str">
        <f t="shared" si="1"/>
        <v>Integris Baptist|St. John Owasso</v>
      </c>
      <c r="B84" t="s">
        <v>34</v>
      </c>
      <c r="C84" t="s">
        <v>25</v>
      </c>
      <c r="D84">
        <v>106.01666666666669</v>
      </c>
      <c r="E84">
        <v>123.2465</v>
      </c>
    </row>
    <row r="85" spans="1:5" x14ac:dyDescent="0.2">
      <c r="A85" t="str">
        <f t="shared" si="1"/>
        <v>Integris Baptist|Jane Phillips Medical Center</v>
      </c>
      <c r="B85" t="s">
        <v>34</v>
      </c>
      <c r="C85" t="s">
        <v>24</v>
      </c>
      <c r="D85">
        <v>127.7166666666667</v>
      </c>
      <c r="E85">
        <v>148.7749</v>
      </c>
    </row>
    <row r="86" spans="1:5" x14ac:dyDescent="0.2">
      <c r="A86" t="str">
        <f t="shared" si="1"/>
        <v>Integris Baptist|YWCA South</v>
      </c>
      <c r="B86" t="s">
        <v>34</v>
      </c>
      <c r="C86" t="s">
        <v>23</v>
      </c>
      <c r="D86">
        <v>90.63333333333334</v>
      </c>
      <c r="E86">
        <v>107.52330000000001</v>
      </c>
    </row>
    <row r="87" spans="1:5" x14ac:dyDescent="0.2">
      <c r="A87" t="str">
        <f t="shared" si="1"/>
        <v>Integris Baptist|YWCA East</v>
      </c>
      <c r="B87" t="s">
        <v>34</v>
      </c>
      <c r="C87" t="s">
        <v>22</v>
      </c>
      <c r="D87">
        <v>94.61666666666666</v>
      </c>
      <c r="E87">
        <v>110.35680000000001</v>
      </c>
    </row>
    <row r="88" spans="1:5" x14ac:dyDescent="0.2">
      <c r="A88" t="str">
        <f t="shared" si="1"/>
        <v>Integris Baptist|KUMC - University of Kansas Health System</v>
      </c>
      <c r="B88" t="s">
        <v>34</v>
      </c>
      <c r="C88" t="s">
        <v>21</v>
      </c>
      <c r="D88">
        <v>281.71666666666658</v>
      </c>
      <c r="E88">
        <v>346.14789999999999</v>
      </c>
    </row>
    <row r="89" spans="1:5" x14ac:dyDescent="0.2">
      <c r="A89" t="str">
        <f t="shared" si="1"/>
        <v>Integris Baptist|KUMC - Kansas Health Systems – St. Francis Campus</v>
      </c>
      <c r="B89" t="s">
        <v>34</v>
      </c>
      <c r="C89" t="s">
        <v>20</v>
      </c>
      <c r="D89">
        <v>241.25</v>
      </c>
      <c r="E89">
        <v>292.5838</v>
      </c>
    </row>
    <row r="90" spans="1:5" x14ac:dyDescent="0.2">
      <c r="A90" t="str">
        <f t="shared" si="1"/>
        <v>Integris Baptist|Shawnee Mission MC</v>
      </c>
      <c r="B90" t="s">
        <v>34</v>
      </c>
      <c r="C90" t="s">
        <v>19</v>
      </c>
      <c r="D90">
        <v>273.33333333333331</v>
      </c>
      <c r="E90">
        <v>337.71339999999998</v>
      </c>
    </row>
    <row r="91" spans="1:5" x14ac:dyDescent="0.2">
      <c r="A91" t="str">
        <f t="shared" si="1"/>
        <v>Integris Baptist|Woven Leaf</v>
      </c>
      <c r="B91" t="s">
        <v>34</v>
      </c>
      <c r="C91" t="s">
        <v>18</v>
      </c>
      <c r="D91">
        <v>208.23333333333329</v>
      </c>
      <c r="E91">
        <v>229.01509999999999</v>
      </c>
    </row>
    <row r="92" spans="1:5" x14ac:dyDescent="0.2">
      <c r="A92" t="str">
        <f t="shared" si="1"/>
        <v>Integris Baptist|Southeast KS Health Department</v>
      </c>
      <c r="B92" t="s">
        <v>34</v>
      </c>
      <c r="C92" t="s">
        <v>17</v>
      </c>
      <c r="D92">
        <v>223.55</v>
      </c>
      <c r="E92">
        <v>246.0307</v>
      </c>
    </row>
    <row r="93" spans="1:5" x14ac:dyDescent="0.2">
      <c r="A93" t="str">
        <f t="shared" si="1"/>
        <v>Integris Baptist|Salina Regional</v>
      </c>
      <c r="B93" t="s">
        <v>34</v>
      </c>
      <c r="C93" t="s">
        <v>16</v>
      </c>
      <c r="D93">
        <v>206.95</v>
      </c>
      <c r="E93">
        <v>247.28270000000001</v>
      </c>
    </row>
    <row r="94" spans="1:5" x14ac:dyDescent="0.2">
      <c r="A94" t="str">
        <f t="shared" si="1"/>
        <v>Integris Baptist|Kansas Birth Justice Society</v>
      </c>
      <c r="B94" t="s">
        <v>34</v>
      </c>
      <c r="C94" t="s">
        <v>15</v>
      </c>
      <c r="D94">
        <v>134.44999999999999</v>
      </c>
      <c r="E94">
        <v>160.08199999999999</v>
      </c>
    </row>
    <row r="95" spans="1:5" x14ac:dyDescent="0.2">
      <c r="A95" t="str">
        <f t="shared" si="1"/>
        <v>Integris Baptist|Flint Hills- Riley County Health Department</v>
      </c>
      <c r="B95" t="s">
        <v>34</v>
      </c>
      <c r="C95" t="s">
        <v>14</v>
      </c>
      <c r="D95">
        <v>249.1166666666667</v>
      </c>
      <c r="E95">
        <v>290.3904</v>
      </c>
    </row>
    <row r="96" spans="1:5" x14ac:dyDescent="0.2">
      <c r="A96" t="str">
        <f t="shared" si="1"/>
        <v>Integris Baptist|Washington Regional Medical Center</v>
      </c>
      <c r="B96" t="s">
        <v>34</v>
      </c>
      <c r="C96" t="s">
        <v>13</v>
      </c>
      <c r="D96">
        <v>190.56666666666669</v>
      </c>
      <c r="E96">
        <v>214.7807</v>
      </c>
    </row>
    <row r="97" spans="1:5" x14ac:dyDescent="0.2">
      <c r="A97" t="str">
        <f t="shared" si="1"/>
        <v>Integris Baptist|South Central Medical Center</v>
      </c>
      <c r="B97" t="s">
        <v>34</v>
      </c>
      <c r="C97" t="s">
        <v>12</v>
      </c>
      <c r="D97">
        <v>58.516666666666673</v>
      </c>
      <c r="E97">
        <v>53.472700000000003</v>
      </c>
    </row>
    <row r="98" spans="1:5" x14ac:dyDescent="0.2">
      <c r="A98" t="str">
        <f t="shared" si="1"/>
        <v>Integris Baptist|Andrew County</v>
      </c>
      <c r="B98" t="s">
        <v>34</v>
      </c>
      <c r="C98" t="s">
        <v>11</v>
      </c>
      <c r="D98">
        <v>324.14999999999998</v>
      </c>
      <c r="E98">
        <v>399.8424</v>
      </c>
    </row>
    <row r="99" spans="1:5" x14ac:dyDescent="0.2">
      <c r="A99" t="str">
        <f t="shared" si="1"/>
        <v>Integris Baptist|Comanche County Memorial Hospital</v>
      </c>
      <c r="B99" t="s">
        <v>34</v>
      </c>
      <c r="C99" t="s">
        <v>10</v>
      </c>
      <c r="D99">
        <v>78.483333333333334</v>
      </c>
      <c r="E99">
        <v>90.042299999999997</v>
      </c>
    </row>
    <row r="100" spans="1:5" x14ac:dyDescent="0.2">
      <c r="A100" t="str">
        <f t="shared" si="1"/>
        <v>Integris Baptist|Garfield County Health Department</v>
      </c>
      <c r="B100" t="s">
        <v>34</v>
      </c>
      <c r="C100" t="s">
        <v>9</v>
      </c>
      <c r="D100">
        <v>77.533333333333331</v>
      </c>
      <c r="E100">
        <v>76.622500000000002</v>
      </c>
    </row>
    <row r="101" spans="1:5" x14ac:dyDescent="0.2">
      <c r="A101" t="str">
        <f t="shared" si="1"/>
        <v>Integris Baptist|Grady County</v>
      </c>
      <c r="B101" t="s">
        <v>34</v>
      </c>
      <c r="C101" t="s">
        <v>8</v>
      </c>
      <c r="D101">
        <v>43.733333333333327</v>
      </c>
      <c r="E101">
        <v>45.787599999999998</v>
      </c>
    </row>
    <row r="102" spans="1:5" x14ac:dyDescent="0.2">
      <c r="A102" t="str">
        <f t="shared" si="1"/>
        <v>Integris Baptist|Beckham County</v>
      </c>
      <c r="B102" t="s">
        <v>34</v>
      </c>
      <c r="C102" t="s">
        <v>7</v>
      </c>
      <c r="D102">
        <v>96.833333333333329</v>
      </c>
      <c r="E102">
        <v>113.34180000000001</v>
      </c>
    </row>
    <row r="103" spans="1:5" x14ac:dyDescent="0.2">
      <c r="A103" t="str">
        <f t="shared" si="1"/>
        <v>Integris Baptist|Custer County</v>
      </c>
      <c r="B103" t="s">
        <v>34</v>
      </c>
      <c r="C103" t="s">
        <v>6</v>
      </c>
      <c r="D103">
        <v>77.733333333333334</v>
      </c>
      <c r="E103">
        <v>87.769900000000007</v>
      </c>
    </row>
    <row r="104" spans="1:5" x14ac:dyDescent="0.2">
      <c r="A104" t="str">
        <f t="shared" si="1"/>
        <v>Integris Baptist|Pontotoc County</v>
      </c>
      <c r="B104" t="s">
        <v>34</v>
      </c>
      <c r="C104" t="s">
        <v>5</v>
      </c>
      <c r="D104">
        <v>91.11666666666666</v>
      </c>
      <c r="E104">
        <v>93.387699999999995</v>
      </c>
    </row>
    <row r="105" spans="1:5" x14ac:dyDescent="0.2">
      <c r="A105" t="str">
        <f t="shared" si="1"/>
        <v>Integris Baptist|McIntosh County</v>
      </c>
      <c r="B105" t="s">
        <v>34</v>
      </c>
      <c r="C105" t="s">
        <v>4</v>
      </c>
      <c r="D105">
        <v>105.8333333333333</v>
      </c>
      <c r="E105">
        <v>123.9375</v>
      </c>
    </row>
    <row r="106" spans="1:5" x14ac:dyDescent="0.2">
      <c r="A106" t="str">
        <f t="shared" si="1"/>
        <v>Integris Baptist|Carter County Health Department</v>
      </c>
      <c r="B106" t="s">
        <v>34</v>
      </c>
      <c r="C106" t="s">
        <v>3</v>
      </c>
      <c r="D106">
        <v>100.0333333333333</v>
      </c>
      <c r="E106">
        <v>109.7</v>
      </c>
    </row>
    <row r="107" spans="1:5" x14ac:dyDescent="0.2">
      <c r="A107" t="str">
        <f t="shared" si="1"/>
        <v>Integris Baptist|Jackson County Altus</v>
      </c>
      <c r="B107" t="s">
        <v>34</v>
      </c>
      <c r="C107" t="s">
        <v>2</v>
      </c>
      <c r="D107">
        <v>124.6666666666667</v>
      </c>
      <c r="E107">
        <v>141.68260000000001</v>
      </c>
    </row>
    <row r="108" spans="1:5" x14ac:dyDescent="0.2">
      <c r="A108" t="str">
        <f t="shared" si="1"/>
        <v>Integris Baptist|Alliance Health Woodward</v>
      </c>
      <c r="B108" t="s">
        <v>34</v>
      </c>
      <c r="C108" t="s">
        <v>0</v>
      </c>
      <c r="D108">
        <v>131.7166666666667</v>
      </c>
      <c r="E108">
        <v>142.00819999999999</v>
      </c>
    </row>
    <row r="109" spans="1:5" x14ac:dyDescent="0.2">
      <c r="A109" t="str">
        <f t="shared" si="1"/>
        <v>Integris Baptist|McAlester Regional Health</v>
      </c>
      <c r="B109" t="s">
        <v>34</v>
      </c>
      <c r="C109" t="s">
        <v>1</v>
      </c>
      <c r="D109">
        <v>119.95</v>
      </c>
      <c r="E109">
        <v>138.23769999999999</v>
      </c>
    </row>
    <row r="110" spans="1:5" x14ac:dyDescent="0.2">
      <c r="A110" t="str">
        <f t="shared" si="1"/>
        <v>Cleveland County Moore|Oklahoma Mothers’ Milk Bank</v>
      </c>
      <c r="B110" t="s">
        <v>33</v>
      </c>
      <c r="C110" t="s">
        <v>36</v>
      </c>
      <c r="D110">
        <v>14.06666666666667</v>
      </c>
      <c r="E110">
        <v>11.832800000000001</v>
      </c>
    </row>
    <row r="111" spans="1:5" x14ac:dyDescent="0.2">
      <c r="A111" t="str">
        <f t="shared" si="1"/>
        <v>Cleveland County Moore|Integris Southwest</v>
      </c>
      <c r="B111" t="s">
        <v>33</v>
      </c>
      <c r="C111" t="s">
        <v>35</v>
      </c>
      <c r="D111">
        <v>12.33333333333333</v>
      </c>
      <c r="E111">
        <v>9.0882000000000005</v>
      </c>
    </row>
    <row r="112" spans="1:5" x14ac:dyDescent="0.2">
      <c r="A112" t="str">
        <f t="shared" si="1"/>
        <v>Cleveland County Moore|Integris Baptist</v>
      </c>
      <c r="B112" t="s">
        <v>33</v>
      </c>
      <c r="C112" t="s">
        <v>34</v>
      </c>
      <c r="D112">
        <v>21.333333333333329</v>
      </c>
      <c r="E112">
        <v>19.645299999999999</v>
      </c>
    </row>
    <row r="113" spans="1:5" x14ac:dyDescent="0.2">
      <c r="A113" t="str">
        <f t="shared" si="1"/>
        <v>Cleveland County Moore|Variety Care- Lafayette</v>
      </c>
      <c r="B113" t="s">
        <v>33</v>
      </c>
      <c r="C113" t="s">
        <v>32</v>
      </c>
      <c r="D113">
        <v>11.83333333333333</v>
      </c>
      <c r="E113">
        <v>8.468</v>
      </c>
    </row>
    <row r="114" spans="1:5" x14ac:dyDescent="0.2">
      <c r="A114" t="str">
        <f t="shared" si="1"/>
        <v>Cleveland County Moore|Edmond Hope Center</v>
      </c>
      <c r="B114" t="s">
        <v>33</v>
      </c>
      <c r="C114" t="s">
        <v>31</v>
      </c>
      <c r="D114">
        <v>28.7</v>
      </c>
      <c r="E114">
        <v>25.8826</v>
      </c>
    </row>
    <row r="115" spans="1:5" x14ac:dyDescent="0.2">
      <c r="A115" t="str">
        <f t="shared" si="1"/>
        <v>Cleveland County Moore|Canadian Valley</v>
      </c>
      <c r="B115" t="s">
        <v>33</v>
      </c>
      <c r="C115" t="s">
        <v>30</v>
      </c>
      <c r="D115">
        <v>27.133333333333329</v>
      </c>
      <c r="E115">
        <v>26.344899999999999</v>
      </c>
    </row>
    <row r="116" spans="1:5" x14ac:dyDescent="0.2">
      <c r="A116" t="str">
        <f t="shared" si="1"/>
        <v>Cleveland County Moore|St. Anthony Shawnee Hospital</v>
      </c>
      <c r="B116" t="s">
        <v>33</v>
      </c>
      <c r="C116" t="s">
        <v>29</v>
      </c>
      <c r="D116">
        <v>36.833333333333343</v>
      </c>
      <c r="E116">
        <v>37.177900000000001</v>
      </c>
    </row>
    <row r="117" spans="1:5" x14ac:dyDescent="0.2">
      <c r="A117" t="str">
        <f t="shared" si="1"/>
        <v>Cleveland County Moore|OU Children’s Hospital</v>
      </c>
      <c r="B117" t="s">
        <v>33</v>
      </c>
      <c r="C117" t="s">
        <v>28</v>
      </c>
      <c r="D117">
        <v>14.55</v>
      </c>
      <c r="E117">
        <v>11.6271</v>
      </c>
    </row>
    <row r="118" spans="1:5" x14ac:dyDescent="0.2">
      <c r="A118" t="str">
        <f t="shared" si="1"/>
        <v>Cleveland County Moore|OBI</v>
      </c>
      <c r="B118" t="s">
        <v>33</v>
      </c>
      <c r="C118" t="s">
        <v>27</v>
      </c>
      <c r="D118">
        <v>97.8</v>
      </c>
      <c r="E118">
        <v>115.5421</v>
      </c>
    </row>
    <row r="119" spans="1:5" x14ac:dyDescent="0.2">
      <c r="A119" t="str">
        <f t="shared" si="1"/>
        <v>Cleveland County Moore|Tulsa Hillcrest Hospital</v>
      </c>
      <c r="B119" t="s">
        <v>33</v>
      </c>
      <c r="C119" t="s">
        <v>26</v>
      </c>
      <c r="D119">
        <v>98.583333333333329</v>
      </c>
      <c r="E119">
        <v>116.015</v>
      </c>
    </row>
    <row r="120" spans="1:5" x14ac:dyDescent="0.2">
      <c r="A120" t="str">
        <f t="shared" si="1"/>
        <v>Cleveland County Moore|St. John Owasso</v>
      </c>
      <c r="B120" t="s">
        <v>33</v>
      </c>
      <c r="C120" t="s">
        <v>25</v>
      </c>
      <c r="D120">
        <v>113.2833333333333</v>
      </c>
      <c r="E120">
        <v>132.2191</v>
      </c>
    </row>
    <row r="121" spans="1:5" x14ac:dyDescent="0.2">
      <c r="A121" t="str">
        <f t="shared" si="1"/>
        <v>Cleveland County Moore|Jane Phillips Medical Center</v>
      </c>
      <c r="B121" t="s">
        <v>33</v>
      </c>
      <c r="C121" t="s">
        <v>24</v>
      </c>
      <c r="D121">
        <v>134.98333333333329</v>
      </c>
      <c r="E121">
        <v>157.7475</v>
      </c>
    </row>
    <row r="122" spans="1:5" x14ac:dyDescent="0.2">
      <c r="A122" t="str">
        <f t="shared" si="1"/>
        <v>Cleveland County Moore|YWCA South</v>
      </c>
      <c r="B122" t="s">
        <v>33</v>
      </c>
      <c r="C122" t="s">
        <v>23</v>
      </c>
      <c r="D122">
        <v>97.9</v>
      </c>
      <c r="E122">
        <v>116.49590000000001</v>
      </c>
    </row>
    <row r="123" spans="1:5" x14ac:dyDescent="0.2">
      <c r="A123" t="str">
        <f t="shared" si="1"/>
        <v>Cleveland County Moore|YWCA East</v>
      </c>
      <c r="B123" t="s">
        <v>33</v>
      </c>
      <c r="C123" t="s">
        <v>22</v>
      </c>
      <c r="D123">
        <v>101.8833333333333</v>
      </c>
      <c r="E123">
        <v>119.32940000000001</v>
      </c>
    </row>
    <row r="124" spans="1:5" x14ac:dyDescent="0.2">
      <c r="A124" t="str">
        <f t="shared" si="1"/>
        <v>Cleveland County Moore|KUMC - University of Kansas Health System</v>
      </c>
      <c r="B124" t="s">
        <v>33</v>
      </c>
      <c r="C124" t="s">
        <v>21</v>
      </c>
      <c r="D124">
        <v>288.98333333333329</v>
      </c>
      <c r="E124">
        <v>355.12049999999999</v>
      </c>
    </row>
    <row r="125" spans="1:5" x14ac:dyDescent="0.2">
      <c r="A125" t="str">
        <f t="shared" si="1"/>
        <v>Cleveland County Moore|KUMC - Kansas Health Systems – St. Francis Campus</v>
      </c>
      <c r="B125" t="s">
        <v>33</v>
      </c>
      <c r="C125" t="s">
        <v>20</v>
      </c>
      <c r="D125">
        <v>248.51666666666671</v>
      </c>
      <c r="E125">
        <v>301.5564</v>
      </c>
    </row>
    <row r="126" spans="1:5" x14ac:dyDescent="0.2">
      <c r="A126" t="str">
        <f t="shared" si="1"/>
        <v>Cleveland County Moore|Shawnee Mission MC</v>
      </c>
      <c r="B126" t="s">
        <v>33</v>
      </c>
      <c r="C126" t="s">
        <v>19</v>
      </c>
      <c r="D126">
        <v>280.60000000000002</v>
      </c>
      <c r="E126">
        <v>346.68599999999998</v>
      </c>
    </row>
    <row r="127" spans="1:5" x14ac:dyDescent="0.2">
      <c r="A127" t="str">
        <f t="shared" si="1"/>
        <v>Cleveland County Moore|Woven Leaf</v>
      </c>
      <c r="B127" t="s">
        <v>33</v>
      </c>
      <c r="C127" t="s">
        <v>18</v>
      </c>
      <c r="D127">
        <v>215.5</v>
      </c>
      <c r="E127">
        <v>237.98769999999999</v>
      </c>
    </row>
    <row r="128" spans="1:5" x14ac:dyDescent="0.2">
      <c r="A128" t="str">
        <f t="shared" si="1"/>
        <v>Cleveland County Moore|Southeast KS Health Department</v>
      </c>
      <c r="B128" t="s">
        <v>33</v>
      </c>
      <c r="C128" t="s">
        <v>17</v>
      </c>
      <c r="D128">
        <v>230.81666666666669</v>
      </c>
      <c r="E128">
        <v>255.0033</v>
      </c>
    </row>
    <row r="129" spans="1:5" x14ac:dyDescent="0.2">
      <c r="A129" t="str">
        <f t="shared" si="1"/>
        <v>Cleveland County Moore|Salina Regional</v>
      </c>
      <c r="B129" t="s">
        <v>33</v>
      </c>
      <c r="C129" t="s">
        <v>16</v>
      </c>
      <c r="D129">
        <v>214.2166666666667</v>
      </c>
      <c r="E129">
        <v>256.25529999999998</v>
      </c>
    </row>
    <row r="130" spans="1:5" x14ac:dyDescent="0.2">
      <c r="A130" t="str">
        <f t="shared" ref="A130:A193" si="2">CONCATENATE(B130,"|",C130)</f>
        <v>Cleveland County Moore|Kansas Birth Justice Society</v>
      </c>
      <c r="B130" t="s">
        <v>33</v>
      </c>
      <c r="C130" t="s">
        <v>15</v>
      </c>
      <c r="D130">
        <v>141.7166666666667</v>
      </c>
      <c r="E130">
        <v>169.05459999999999</v>
      </c>
    </row>
    <row r="131" spans="1:5" x14ac:dyDescent="0.2">
      <c r="A131" t="str">
        <f t="shared" si="2"/>
        <v>Cleveland County Moore|Flint Hills- Riley County Health Department</v>
      </c>
      <c r="B131" t="s">
        <v>33</v>
      </c>
      <c r="C131" t="s">
        <v>14</v>
      </c>
      <c r="D131">
        <v>256.38333333333333</v>
      </c>
      <c r="E131">
        <v>299.363</v>
      </c>
    </row>
    <row r="132" spans="1:5" x14ac:dyDescent="0.2">
      <c r="A132" t="str">
        <f t="shared" si="2"/>
        <v>Cleveland County Moore|Washington Regional Medical Center</v>
      </c>
      <c r="B132" t="s">
        <v>33</v>
      </c>
      <c r="C132" t="s">
        <v>13</v>
      </c>
      <c r="D132">
        <v>197.58333333333329</v>
      </c>
      <c r="E132">
        <v>239.9288</v>
      </c>
    </row>
    <row r="133" spans="1:5" x14ac:dyDescent="0.2">
      <c r="A133" t="str">
        <f t="shared" si="2"/>
        <v>Cleveland County Moore|South Central Medical Center</v>
      </c>
      <c r="B133" t="s">
        <v>33</v>
      </c>
      <c r="C133" t="s">
        <v>12</v>
      </c>
      <c r="D133">
        <v>53.35</v>
      </c>
      <c r="E133">
        <v>45.221499999999999</v>
      </c>
    </row>
    <row r="134" spans="1:5" x14ac:dyDescent="0.2">
      <c r="A134" t="str">
        <f t="shared" si="2"/>
        <v>Cleveland County Moore|Andrew County</v>
      </c>
      <c r="B134" t="s">
        <v>33</v>
      </c>
      <c r="C134" t="s">
        <v>11</v>
      </c>
      <c r="D134">
        <v>331.41666666666669</v>
      </c>
      <c r="E134">
        <v>408.815</v>
      </c>
    </row>
    <row r="135" spans="1:5" x14ac:dyDescent="0.2">
      <c r="A135" t="str">
        <f t="shared" si="2"/>
        <v>Cleveland County Moore|Comanche County Memorial Hospital</v>
      </c>
      <c r="B135" t="s">
        <v>33</v>
      </c>
      <c r="C135" t="s">
        <v>10</v>
      </c>
      <c r="D135">
        <v>73.316666666666663</v>
      </c>
      <c r="E135">
        <v>81.7911</v>
      </c>
    </row>
    <row r="136" spans="1:5" x14ac:dyDescent="0.2">
      <c r="A136" t="str">
        <f t="shared" si="2"/>
        <v>Cleveland County Moore|Garfield County Health Department</v>
      </c>
      <c r="B136" t="s">
        <v>33</v>
      </c>
      <c r="C136" t="s">
        <v>9</v>
      </c>
      <c r="D136">
        <v>94.916666666666671</v>
      </c>
      <c r="E136">
        <v>95.481800000000007</v>
      </c>
    </row>
    <row r="137" spans="1:5" x14ac:dyDescent="0.2">
      <c r="A137" t="str">
        <f t="shared" si="2"/>
        <v>Cleveland County Moore|Grady County</v>
      </c>
      <c r="B137" t="s">
        <v>33</v>
      </c>
      <c r="C137" t="s">
        <v>8</v>
      </c>
      <c r="D137">
        <v>38.56666666666667</v>
      </c>
      <c r="E137">
        <v>37.5364</v>
      </c>
    </row>
    <row r="138" spans="1:5" x14ac:dyDescent="0.2">
      <c r="A138" t="str">
        <f t="shared" si="2"/>
        <v>Cleveland County Moore|Beckham County</v>
      </c>
      <c r="B138" t="s">
        <v>33</v>
      </c>
      <c r="C138" t="s">
        <v>7</v>
      </c>
      <c r="D138">
        <v>104.55</v>
      </c>
      <c r="E138">
        <v>122.5742</v>
      </c>
    </row>
    <row r="139" spans="1:5" x14ac:dyDescent="0.2">
      <c r="A139" t="str">
        <f t="shared" si="2"/>
        <v>Cleveland County Moore|Custer County</v>
      </c>
      <c r="B139" t="s">
        <v>33</v>
      </c>
      <c r="C139" t="s">
        <v>6</v>
      </c>
      <c r="D139">
        <v>85.45</v>
      </c>
      <c r="E139">
        <v>97.002300000000005</v>
      </c>
    </row>
    <row r="140" spans="1:5" x14ac:dyDescent="0.2">
      <c r="A140" t="str">
        <f t="shared" si="2"/>
        <v>Cleveland County Moore|Pontotoc County</v>
      </c>
      <c r="B140" t="s">
        <v>33</v>
      </c>
      <c r="C140" t="s">
        <v>5</v>
      </c>
      <c r="D140">
        <v>83.566666666666663</v>
      </c>
      <c r="E140">
        <v>86.2774</v>
      </c>
    </row>
    <row r="141" spans="1:5" x14ac:dyDescent="0.2">
      <c r="A141" t="str">
        <f t="shared" si="2"/>
        <v>Cleveland County Moore|McIntosh County</v>
      </c>
      <c r="B141" t="s">
        <v>33</v>
      </c>
      <c r="C141" t="s">
        <v>4</v>
      </c>
      <c r="D141">
        <v>98.283333333333331</v>
      </c>
      <c r="E141">
        <v>116.8271</v>
      </c>
    </row>
    <row r="142" spans="1:5" x14ac:dyDescent="0.2">
      <c r="A142" t="str">
        <f t="shared" si="2"/>
        <v>Cleveland County Moore|Carter County Health Department</v>
      </c>
      <c r="B142" t="s">
        <v>33</v>
      </c>
      <c r="C142" t="s">
        <v>3</v>
      </c>
      <c r="D142">
        <v>78.283333333333331</v>
      </c>
      <c r="E142">
        <v>90.321299999999994</v>
      </c>
    </row>
    <row r="143" spans="1:5" x14ac:dyDescent="0.2">
      <c r="A143" t="str">
        <f t="shared" si="2"/>
        <v>Cleveland County Moore|Jackson County Altus</v>
      </c>
      <c r="B143" t="s">
        <v>33</v>
      </c>
      <c r="C143" t="s">
        <v>2</v>
      </c>
      <c r="D143">
        <v>119.5</v>
      </c>
      <c r="E143">
        <v>133.4314</v>
      </c>
    </row>
    <row r="144" spans="1:5" x14ac:dyDescent="0.2">
      <c r="A144" t="str">
        <f t="shared" si="2"/>
        <v>Cleveland County Moore|Alliance Health Woodward</v>
      </c>
      <c r="B144" t="s">
        <v>33</v>
      </c>
      <c r="C144" t="s">
        <v>0</v>
      </c>
      <c r="D144">
        <v>139.43333333333331</v>
      </c>
      <c r="E144">
        <v>151.2405</v>
      </c>
    </row>
    <row r="145" spans="1:5" x14ac:dyDescent="0.2">
      <c r="A145" t="str">
        <f t="shared" si="2"/>
        <v>Cleveland County Moore|McAlester Regional Health</v>
      </c>
      <c r="B145" t="s">
        <v>33</v>
      </c>
      <c r="C145" t="s">
        <v>1</v>
      </c>
      <c r="D145">
        <v>112.4</v>
      </c>
      <c r="E145">
        <v>131.12729999999999</v>
      </c>
    </row>
    <row r="146" spans="1:5" x14ac:dyDescent="0.2">
      <c r="A146" t="str">
        <f t="shared" si="2"/>
        <v>Variety Care- Lafayette|Oklahoma Mothers’ Milk Bank</v>
      </c>
      <c r="B146" t="s">
        <v>32</v>
      </c>
      <c r="C146" t="s">
        <v>36</v>
      </c>
      <c r="D146">
        <v>11.33333333333333</v>
      </c>
      <c r="E146">
        <v>6.9457000000000004</v>
      </c>
    </row>
    <row r="147" spans="1:5" x14ac:dyDescent="0.2">
      <c r="A147" t="str">
        <f t="shared" si="2"/>
        <v>Variety Care- Lafayette|Integris Southwest</v>
      </c>
      <c r="B147" t="s">
        <v>32</v>
      </c>
      <c r="C147" t="s">
        <v>35</v>
      </c>
      <c r="D147">
        <v>2.083333333333333</v>
      </c>
      <c r="E147">
        <v>0.67169999999999996</v>
      </c>
    </row>
    <row r="148" spans="1:5" x14ac:dyDescent="0.2">
      <c r="A148" t="str">
        <f t="shared" si="2"/>
        <v>Variety Care- Lafayette|Integris Baptist</v>
      </c>
      <c r="B148" t="s">
        <v>32</v>
      </c>
      <c r="C148" t="s">
        <v>34</v>
      </c>
      <c r="D148">
        <v>15.83333333333333</v>
      </c>
      <c r="E148">
        <v>11.055400000000001</v>
      </c>
    </row>
    <row r="149" spans="1:5" x14ac:dyDescent="0.2">
      <c r="A149" t="str">
        <f t="shared" si="2"/>
        <v>Variety Care- Lafayette|Cleveland County Moore</v>
      </c>
      <c r="B149" t="s">
        <v>32</v>
      </c>
      <c r="C149" t="s">
        <v>33</v>
      </c>
      <c r="D149">
        <v>12.266666666666669</v>
      </c>
      <c r="E149">
        <v>8.4039999999999999</v>
      </c>
    </row>
    <row r="150" spans="1:5" x14ac:dyDescent="0.2">
      <c r="A150" t="str">
        <f t="shared" si="2"/>
        <v>Variety Care- Lafayette|Edmond Hope Center</v>
      </c>
      <c r="B150" t="s">
        <v>32</v>
      </c>
      <c r="C150" t="s">
        <v>31</v>
      </c>
      <c r="D150">
        <v>25.966666666666669</v>
      </c>
      <c r="E150">
        <v>20.9955</v>
      </c>
    </row>
    <row r="151" spans="1:5" x14ac:dyDescent="0.2">
      <c r="A151" t="str">
        <f t="shared" si="2"/>
        <v>Variety Care- Lafayette|Canadian Valley</v>
      </c>
      <c r="B151" t="s">
        <v>32</v>
      </c>
      <c r="C151" t="s">
        <v>30</v>
      </c>
      <c r="D151">
        <v>21.766666666666669</v>
      </c>
      <c r="E151">
        <v>17.399000000000001</v>
      </c>
    </row>
    <row r="152" spans="1:5" x14ac:dyDescent="0.2">
      <c r="A152" t="str">
        <f t="shared" si="2"/>
        <v>Variety Care- Lafayette|St. Anthony Shawnee Hospital</v>
      </c>
      <c r="B152" t="s">
        <v>32</v>
      </c>
      <c r="C152" t="s">
        <v>29</v>
      </c>
      <c r="D152">
        <v>36.883333333333333</v>
      </c>
      <c r="E152">
        <v>37.865099999999998</v>
      </c>
    </row>
    <row r="153" spans="1:5" x14ac:dyDescent="0.2">
      <c r="A153" t="str">
        <f t="shared" si="2"/>
        <v>Variety Care- Lafayette|OU Children’s Hospital</v>
      </c>
      <c r="B153" t="s">
        <v>32</v>
      </c>
      <c r="C153" t="s">
        <v>28</v>
      </c>
      <c r="D153">
        <v>11.81666666666667</v>
      </c>
      <c r="E153">
        <v>6.74</v>
      </c>
    </row>
    <row r="154" spans="1:5" x14ac:dyDescent="0.2">
      <c r="A154" t="str">
        <f t="shared" si="2"/>
        <v>Variety Care- Lafayette|OBI</v>
      </c>
      <c r="B154" t="s">
        <v>32</v>
      </c>
      <c r="C154" t="s">
        <v>27</v>
      </c>
      <c r="D154">
        <v>95.63333333333334</v>
      </c>
      <c r="E154">
        <v>110.6109</v>
      </c>
    </row>
    <row r="155" spans="1:5" x14ac:dyDescent="0.2">
      <c r="A155" t="str">
        <f t="shared" si="2"/>
        <v>Variety Care- Lafayette|Tulsa Hillcrest Hospital</v>
      </c>
      <c r="B155" t="s">
        <v>32</v>
      </c>
      <c r="C155" t="s">
        <v>26</v>
      </c>
      <c r="D155">
        <v>96.416666666666671</v>
      </c>
      <c r="E155">
        <v>111.0838</v>
      </c>
    </row>
    <row r="156" spans="1:5" x14ac:dyDescent="0.2">
      <c r="A156" t="str">
        <f t="shared" si="2"/>
        <v>Variety Care- Lafayette|St. John Owasso</v>
      </c>
      <c r="B156" t="s">
        <v>32</v>
      </c>
      <c r="C156" t="s">
        <v>25</v>
      </c>
      <c r="D156">
        <v>111.1166666666667</v>
      </c>
      <c r="E156">
        <v>127.28789999999999</v>
      </c>
    </row>
    <row r="157" spans="1:5" x14ac:dyDescent="0.2">
      <c r="A157" t="str">
        <f t="shared" si="2"/>
        <v>Variety Care- Lafayette|Jane Phillips Medical Center</v>
      </c>
      <c r="B157" t="s">
        <v>32</v>
      </c>
      <c r="C157" t="s">
        <v>24</v>
      </c>
      <c r="D157">
        <v>132.81666666666669</v>
      </c>
      <c r="E157">
        <v>152.81630000000001</v>
      </c>
    </row>
    <row r="158" spans="1:5" x14ac:dyDescent="0.2">
      <c r="A158" t="str">
        <f t="shared" si="2"/>
        <v>Variety Care- Lafayette|YWCA South</v>
      </c>
      <c r="B158" t="s">
        <v>32</v>
      </c>
      <c r="C158" t="s">
        <v>23</v>
      </c>
      <c r="D158">
        <v>95.733333333333334</v>
      </c>
      <c r="E158">
        <v>111.5647</v>
      </c>
    </row>
    <row r="159" spans="1:5" x14ac:dyDescent="0.2">
      <c r="A159" t="str">
        <f t="shared" si="2"/>
        <v>Variety Care- Lafayette|YWCA East</v>
      </c>
      <c r="B159" t="s">
        <v>32</v>
      </c>
      <c r="C159" t="s">
        <v>22</v>
      </c>
      <c r="D159">
        <v>99.716666666666669</v>
      </c>
      <c r="E159">
        <v>114.3982</v>
      </c>
    </row>
    <row r="160" spans="1:5" x14ac:dyDescent="0.2">
      <c r="A160" t="str">
        <f t="shared" si="2"/>
        <v>Variety Care- Lafayette|KUMC - University of Kansas Health System</v>
      </c>
      <c r="B160" t="s">
        <v>32</v>
      </c>
      <c r="C160" t="s">
        <v>21</v>
      </c>
      <c r="D160">
        <v>286.81666666666672</v>
      </c>
      <c r="E160">
        <v>350.1893</v>
      </c>
    </row>
    <row r="161" spans="1:5" x14ac:dyDescent="0.2">
      <c r="A161" t="str">
        <f t="shared" si="2"/>
        <v>Variety Care- Lafayette|KUMC - Kansas Health Systems – St. Francis Campus</v>
      </c>
      <c r="B161" t="s">
        <v>32</v>
      </c>
      <c r="C161" t="s">
        <v>20</v>
      </c>
      <c r="D161">
        <v>246.35</v>
      </c>
      <c r="E161">
        <v>296.62520000000001</v>
      </c>
    </row>
    <row r="162" spans="1:5" x14ac:dyDescent="0.2">
      <c r="A162" t="str">
        <f t="shared" si="2"/>
        <v>Variety Care- Lafayette|Shawnee Mission MC</v>
      </c>
      <c r="B162" t="s">
        <v>32</v>
      </c>
      <c r="C162" t="s">
        <v>19</v>
      </c>
      <c r="D162">
        <v>278.43333333333328</v>
      </c>
      <c r="E162">
        <v>341.75479999999999</v>
      </c>
    </row>
    <row r="163" spans="1:5" x14ac:dyDescent="0.2">
      <c r="A163" t="str">
        <f t="shared" si="2"/>
        <v>Variety Care- Lafayette|Woven Leaf</v>
      </c>
      <c r="B163" t="s">
        <v>32</v>
      </c>
      <c r="C163" t="s">
        <v>18</v>
      </c>
      <c r="D163">
        <v>213.33333333333329</v>
      </c>
      <c r="E163">
        <v>233.0565</v>
      </c>
    </row>
    <row r="164" spans="1:5" x14ac:dyDescent="0.2">
      <c r="A164" t="str">
        <f t="shared" si="2"/>
        <v>Variety Care- Lafayette|Southeast KS Health Department</v>
      </c>
      <c r="B164" t="s">
        <v>32</v>
      </c>
      <c r="C164" t="s">
        <v>17</v>
      </c>
      <c r="D164">
        <v>228.65</v>
      </c>
      <c r="E164">
        <v>250.07210000000001</v>
      </c>
    </row>
    <row r="165" spans="1:5" x14ac:dyDescent="0.2">
      <c r="A165" t="str">
        <f t="shared" si="2"/>
        <v>Variety Care- Lafayette|Salina Regional</v>
      </c>
      <c r="B165" t="s">
        <v>32</v>
      </c>
      <c r="C165" t="s">
        <v>16</v>
      </c>
      <c r="D165">
        <v>212.05</v>
      </c>
      <c r="E165">
        <v>251.32409999999999</v>
      </c>
    </row>
    <row r="166" spans="1:5" x14ac:dyDescent="0.2">
      <c r="A166" t="str">
        <f t="shared" si="2"/>
        <v>Variety Care- Lafayette|Kansas Birth Justice Society</v>
      </c>
      <c r="B166" t="s">
        <v>32</v>
      </c>
      <c r="C166" t="s">
        <v>15</v>
      </c>
      <c r="D166">
        <v>139.55000000000001</v>
      </c>
      <c r="E166">
        <v>164.1234</v>
      </c>
    </row>
    <row r="167" spans="1:5" x14ac:dyDescent="0.2">
      <c r="A167" t="str">
        <f t="shared" si="2"/>
        <v>Variety Care- Lafayette|Flint Hills- Riley County Health Department</v>
      </c>
      <c r="B167" t="s">
        <v>32</v>
      </c>
      <c r="C167" t="s">
        <v>14</v>
      </c>
      <c r="D167">
        <v>254.2166666666667</v>
      </c>
      <c r="E167">
        <v>294.43180000000001</v>
      </c>
    </row>
    <row r="168" spans="1:5" x14ac:dyDescent="0.2">
      <c r="A168" t="str">
        <f t="shared" si="2"/>
        <v>Variety Care- Lafayette|Washington Regional Medical Center</v>
      </c>
      <c r="B168" t="s">
        <v>32</v>
      </c>
      <c r="C168" t="s">
        <v>13</v>
      </c>
      <c r="D168">
        <v>195.66666666666671</v>
      </c>
      <c r="E168">
        <v>218.82210000000001</v>
      </c>
    </row>
    <row r="169" spans="1:5" x14ac:dyDescent="0.2">
      <c r="A169" t="str">
        <f t="shared" si="2"/>
        <v>Variety Care- Lafayette|South Central Medical Center</v>
      </c>
      <c r="B169" t="s">
        <v>32</v>
      </c>
      <c r="C169" t="s">
        <v>12</v>
      </c>
      <c r="D169">
        <v>54.266666666666673</v>
      </c>
      <c r="E169">
        <v>48.642200000000003</v>
      </c>
    </row>
    <row r="170" spans="1:5" x14ac:dyDescent="0.2">
      <c r="A170" t="str">
        <f t="shared" si="2"/>
        <v>Variety Care- Lafayette|Andrew County</v>
      </c>
      <c r="B170" t="s">
        <v>32</v>
      </c>
      <c r="C170" t="s">
        <v>11</v>
      </c>
      <c r="D170">
        <v>329.25</v>
      </c>
      <c r="E170">
        <v>403.88380000000001</v>
      </c>
    </row>
    <row r="171" spans="1:5" x14ac:dyDescent="0.2">
      <c r="A171" t="str">
        <f t="shared" si="2"/>
        <v>Variety Care- Lafayette|Comanche County Memorial Hospital</v>
      </c>
      <c r="B171" t="s">
        <v>32</v>
      </c>
      <c r="C171" t="s">
        <v>10</v>
      </c>
      <c r="D171">
        <v>74.233333333333334</v>
      </c>
      <c r="E171">
        <v>85.211699999999993</v>
      </c>
    </row>
    <row r="172" spans="1:5" x14ac:dyDescent="0.2">
      <c r="A172" t="str">
        <f t="shared" si="2"/>
        <v>Variety Care- Lafayette|Garfield County Health Department</v>
      </c>
      <c r="B172" t="s">
        <v>32</v>
      </c>
      <c r="C172" t="s">
        <v>9</v>
      </c>
      <c r="D172">
        <v>89.416666666666671</v>
      </c>
      <c r="E172">
        <v>86.891900000000007</v>
      </c>
    </row>
    <row r="173" spans="1:5" x14ac:dyDescent="0.2">
      <c r="A173" t="str">
        <f t="shared" si="2"/>
        <v>Variety Care- Lafayette|Grady County</v>
      </c>
      <c r="B173" t="s">
        <v>32</v>
      </c>
      <c r="C173" t="s">
        <v>8</v>
      </c>
      <c r="D173">
        <v>39.483333333333327</v>
      </c>
      <c r="E173">
        <v>40.957099999999997</v>
      </c>
    </row>
    <row r="174" spans="1:5" x14ac:dyDescent="0.2">
      <c r="A174" t="str">
        <f t="shared" si="2"/>
        <v>Variety Care- Lafayette|Beckham County</v>
      </c>
      <c r="B174" t="s">
        <v>32</v>
      </c>
      <c r="C174" t="s">
        <v>7</v>
      </c>
      <c r="D174">
        <v>99.183333333333337</v>
      </c>
      <c r="E174">
        <v>113.6283</v>
      </c>
    </row>
    <row r="175" spans="1:5" x14ac:dyDescent="0.2">
      <c r="A175" t="str">
        <f t="shared" si="2"/>
        <v>Variety Care- Lafayette|Custer County</v>
      </c>
      <c r="B175" t="s">
        <v>32</v>
      </c>
      <c r="C175" t="s">
        <v>6</v>
      </c>
      <c r="D175">
        <v>80.083333333333329</v>
      </c>
      <c r="E175">
        <v>88.056399999999996</v>
      </c>
    </row>
    <row r="176" spans="1:5" x14ac:dyDescent="0.2">
      <c r="A176" t="str">
        <f t="shared" si="2"/>
        <v>Variety Care- Lafayette|Pontotoc County</v>
      </c>
      <c r="B176" t="s">
        <v>32</v>
      </c>
      <c r="C176" t="s">
        <v>5</v>
      </c>
      <c r="D176">
        <v>83.61666666666666</v>
      </c>
      <c r="E176">
        <v>86.964600000000004</v>
      </c>
    </row>
    <row r="177" spans="1:5" x14ac:dyDescent="0.2">
      <c r="A177" t="str">
        <f t="shared" si="2"/>
        <v>Variety Care- Lafayette|McIntosh County</v>
      </c>
      <c r="B177" t="s">
        <v>32</v>
      </c>
      <c r="C177" t="s">
        <v>4</v>
      </c>
      <c r="D177">
        <v>98.333333333333329</v>
      </c>
      <c r="E177">
        <v>117.51430000000001</v>
      </c>
    </row>
    <row r="178" spans="1:5" x14ac:dyDescent="0.2">
      <c r="A178" t="str">
        <f t="shared" si="2"/>
        <v>Variety Care- Lafayette|Carter County Health Department</v>
      </c>
      <c r="B178" t="s">
        <v>32</v>
      </c>
      <c r="C178" t="s">
        <v>3</v>
      </c>
      <c r="D178">
        <v>84.533333333333331</v>
      </c>
      <c r="E178">
        <v>96.680999999999997</v>
      </c>
    </row>
    <row r="179" spans="1:5" x14ac:dyDescent="0.2">
      <c r="A179" t="str">
        <f t="shared" si="2"/>
        <v>Variety Care- Lafayette|Jackson County Altus</v>
      </c>
      <c r="B179" t="s">
        <v>32</v>
      </c>
      <c r="C179" t="s">
        <v>2</v>
      </c>
      <c r="D179">
        <v>120.4166666666667</v>
      </c>
      <c r="E179">
        <v>136.852</v>
      </c>
    </row>
    <row r="180" spans="1:5" x14ac:dyDescent="0.2">
      <c r="A180" t="str">
        <f t="shared" si="2"/>
        <v>Variety Care- Lafayette|Alliance Health Woodward</v>
      </c>
      <c r="B180" t="s">
        <v>32</v>
      </c>
      <c r="C180" t="s">
        <v>0</v>
      </c>
      <c r="D180">
        <v>134.06666666666669</v>
      </c>
      <c r="E180">
        <v>142.2946</v>
      </c>
    </row>
    <row r="181" spans="1:5" x14ac:dyDescent="0.2">
      <c r="A181" t="str">
        <f t="shared" si="2"/>
        <v>Variety Care- Lafayette|McAlester Regional Health</v>
      </c>
      <c r="B181" t="s">
        <v>32</v>
      </c>
      <c r="C181" t="s">
        <v>1</v>
      </c>
      <c r="D181">
        <v>112.45</v>
      </c>
      <c r="E181">
        <v>131.81460000000001</v>
      </c>
    </row>
    <row r="182" spans="1:5" x14ac:dyDescent="0.2">
      <c r="A182" t="str">
        <f t="shared" si="2"/>
        <v>Edmond Hope Center|Oklahoma Mothers’ Milk Bank</v>
      </c>
      <c r="B182" t="s">
        <v>31</v>
      </c>
      <c r="C182" t="s">
        <v>36</v>
      </c>
      <c r="D182">
        <v>20.466666666666669</v>
      </c>
      <c r="E182">
        <v>15.003</v>
      </c>
    </row>
    <row r="183" spans="1:5" x14ac:dyDescent="0.2">
      <c r="A183" t="str">
        <f t="shared" si="2"/>
        <v>Edmond Hope Center|Integris Southwest</v>
      </c>
      <c r="B183" t="s">
        <v>31</v>
      </c>
      <c r="C183" t="s">
        <v>35</v>
      </c>
      <c r="D183">
        <v>24.666666666666671</v>
      </c>
      <c r="E183">
        <v>19.935500000000001</v>
      </c>
    </row>
    <row r="184" spans="1:5" x14ac:dyDescent="0.2">
      <c r="A184" t="str">
        <f t="shared" si="2"/>
        <v>Edmond Hope Center|Integris Baptist</v>
      </c>
      <c r="B184" t="s">
        <v>31</v>
      </c>
      <c r="C184" t="s">
        <v>34</v>
      </c>
      <c r="D184">
        <v>20.216666666666669</v>
      </c>
      <c r="E184">
        <v>14.473599999999999</v>
      </c>
    </row>
    <row r="185" spans="1:5" x14ac:dyDescent="0.2">
      <c r="A185" t="str">
        <f t="shared" si="2"/>
        <v>Edmond Hope Center|Cleveland County Moore</v>
      </c>
      <c r="B185" t="s">
        <v>31</v>
      </c>
      <c r="C185" t="s">
        <v>33</v>
      </c>
      <c r="D185">
        <v>33.25</v>
      </c>
      <c r="E185">
        <v>27.006699999999999</v>
      </c>
    </row>
    <row r="186" spans="1:5" x14ac:dyDescent="0.2">
      <c r="A186" t="str">
        <f t="shared" si="2"/>
        <v>Edmond Hope Center|Variety Care- Lafayette</v>
      </c>
      <c r="B186" t="s">
        <v>31</v>
      </c>
      <c r="C186" t="s">
        <v>32</v>
      </c>
      <c r="D186">
        <v>25.45</v>
      </c>
      <c r="E186">
        <v>20.6295</v>
      </c>
    </row>
    <row r="187" spans="1:5" x14ac:dyDescent="0.2">
      <c r="A187" t="str">
        <f t="shared" si="2"/>
        <v>Edmond Hope Center|Canadian Valley</v>
      </c>
      <c r="B187" t="s">
        <v>31</v>
      </c>
      <c r="C187" t="s">
        <v>30</v>
      </c>
      <c r="D187">
        <v>31.716666666666669</v>
      </c>
      <c r="E187">
        <v>29.987400000000001</v>
      </c>
    </row>
    <row r="188" spans="1:5" x14ac:dyDescent="0.2">
      <c r="A188" t="str">
        <f t="shared" si="2"/>
        <v>Edmond Hope Center|St. Anthony Shawnee Hospital</v>
      </c>
      <c r="B188" t="s">
        <v>31</v>
      </c>
      <c r="C188" t="s">
        <v>29</v>
      </c>
      <c r="D188">
        <v>50.766666666666673</v>
      </c>
      <c r="E188">
        <v>51.445799999999998</v>
      </c>
    </row>
    <row r="189" spans="1:5" x14ac:dyDescent="0.2">
      <c r="A189" t="str">
        <f t="shared" si="2"/>
        <v>Edmond Hope Center|OU Children’s Hospital</v>
      </c>
      <c r="B189" t="s">
        <v>31</v>
      </c>
      <c r="C189" t="s">
        <v>28</v>
      </c>
      <c r="D189">
        <v>21.116666666666671</v>
      </c>
      <c r="E189">
        <v>15.257099999999999</v>
      </c>
    </row>
    <row r="190" spans="1:5" x14ac:dyDescent="0.2">
      <c r="A190" t="str">
        <f t="shared" si="2"/>
        <v>Edmond Hope Center|OBI</v>
      </c>
      <c r="B190" t="s">
        <v>31</v>
      </c>
      <c r="C190" t="s">
        <v>27</v>
      </c>
      <c r="D190">
        <v>87.683333333333337</v>
      </c>
      <c r="E190">
        <v>102.9979</v>
      </c>
    </row>
    <row r="191" spans="1:5" x14ac:dyDescent="0.2">
      <c r="A191" t="str">
        <f t="shared" si="2"/>
        <v>Edmond Hope Center|Tulsa Hillcrest Hospital</v>
      </c>
      <c r="B191" t="s">
        <v>31</v>
      </c>
      <c r="C191" t="s">
        <v>26</v>
      </c>
      <c r="D191">
        <v>88.466666666666669</v>
      </c>
      <c r="E191">
        <v>103.47069999999999</v>
      </c>
    </row>
    <row r="192" spans="1:5" x14ac:dyDescent="0.2">
      <c r="A192" t="str">
        <f t="shared" si="2"/>
        <v>Edmond Hope Center|St. John Owasso</v>
      </c>
      <c r="B192" t="s">
        <v>31</v>
      </c>
      <c r="C192" t="s">
        <v>25</v>
      </c>
      <c r="D192">
        <v>103.1666666666667</v>
      </c>
      <c r="E192">
        <v>119.6748</v>
      </c>
    </row>
    <row r="193" spans="1:5" x14ac:dyDescent="0.2">
      <c r="A193" t="str">
        <f t="shared" si="2"/>
        <v>Edmond Hope Center|Jane Phillips Medical Center</v>
      </c>
      <c r="B193" t="s">
        <v>31</v>
      </c>
      <c r="C193" t="s">
        <v>24</v>
      </c>
      <c r="D193">
        <v>124.8666666666667</v>
      </c>
      <c r="E193">
        <v>145.20330000000001</v>
      </c>
    </row>
    <row r="194" spans="1:5" x14ac:dyDescent="0.2">
      <c r="A194" t="str">
        <f t="shared" ref="A194:A257" si="3">CONCATENATE(B194,"|",C194)</f>
        <v>Edmond Hope Center|YWCA South</v>
      </c>
      <c r="B194" t="s">
        <v>31</v>
      </c>
      <c r="C194" t="s">
        <v>23</v>
      </c>
      <c r="D194">
        <v>87.783333333333331</v>
      </c>
      <c r="E194">
        <v>103.9517</v>
      </c>
    </row>
    <row r="195" spans="1:5" x14ac:dyDescent="0.2">
      <c r="A195" t="str">
        <f t="shared" si="3"/>
        <v>Edmond Hope Center|YWCA East</v>
      </c>
      <c r="B195" t="s">
        <v>31</v>
      </c>
      <c r="C195" t="s">
        <v>22</v>
      </c>
      <c r="D195">
        <v>91.766666666666666</v>
      </c>
      <c r="E195">
        <v>106.7851</v>
      </c>
    </row>
    <row r="196" spans="1:5" x14ac:dyDescent="0.2">
      <c r="A196" t="str">
        <f t="shared" si="3"/>
        <v>Edmond Hope Center|KUMC - University of Kansas Health System</v>
      </c>
      <c r="B196" t="s">
        <v>31</v>
      </c>
      <c r="C196" t="s">
        <v>21</v>
      </c>
      <c r="D196">
        <v>271.91666666666669</v>
      </c>
      <c r="E196">
        <v>333.1662</v>
      </c>
    </row>
    <row r="197" spans="1:5" x14ac:dyDescent="0.2">
      <c r="A197" t="str">
        <f t="shared" si="3"/>
        <v>Edmond Hope Center|KUMC - Kansas Health Systems – St. Francis Campus</v>
      </c>
      <c r="B197" t="s">
        <v>31</v>
      </c>
      <c r="C197" t="s">
        <v>20</v>
      </c>
      <c r="D197">
        <v>231.45</v>
      </c>
      <c r="E197">
        <v>279.60210000000001</v>
      </c>
    </row>
    <row r="198" spans="1:5" x14ac:dyDescent="0.2">
      <c r="A198" t="str">
        <f t="shared" si="3"/>
        <v>Edmond Hope Center|Shawnee Mission MC</v>
      </c>
      <c r="B198" t="s">
        <v>31</v>
      </c>
      <c r="C198" t="s">
        <v>19</v>
      </c>
      <c r="D198">
        <v>263.53333333333342</v>
      </c>
      <c r="E198">
        <v>324.73169999999999</v>
      </c>
    </row>
    <row r="199" spans="1:5" x14ac:dyDescent="0.2">
      <c r="A199" t="str">
        <f t="shared" si="3"/>
        <v>Edmond Hope Center|Woven Leaf</v>
      </c>
      <c r="B199" t="s">
        <v>31</v>
      </c>
      <c r="C199" t="s">
        <v>18</v>
      </c>
      <c r="D199">
        <v>205.3833333333333</v>
      </c>
      <c r="E199">
        <v>225.4434</v>
      </c>
    </row>
    <row r="200" spans="1:5" x14ac:dyDescent="0.2">
      <c r="A200" t="str">
        <f t="shared" si="3"/>
        <v>Edmond Hope Center|Southeast KS Health Department</v>
      </c>
      <c r="B200" t="s">
        <v>31</v>
      </c>
      <c r="C200" t="s">
        <v>17</v>
      </c>
      <c r="D200">
        <v>220.26666666666671</v>
      </c>
      <c r="E200">
        <v>252.6961</v>
      </c>
    </row>
    <row r="201" spans="1:5" x14ac:dyDescent="0.2">
      <c r="A201" t="str">
        <f t="shared" si="3"/>
        <v>Edmond Hope Center|Salina Regional</v>
      </c>
      <c r="B201" t="s">
        <v>31</v>
      </c>
      <c r="C201" t="s">
        <v>16</v>
      </c>
      <c r="D201">
        <v>197.15</v>
      </c>
      <c r="E201">
        <v>234.30109999999999</v>
      </c>
    </row>
    <row r="202" spans="1:5" x14ac:dyDescent="0.2">
      <c r="A202" t="str">
        <f t="shared" si="3"/>
        <v>Edmond Hope Center|Kansas Birth Justice Society</v>
      </c>
      <c r="B202" t="s">
        <v>31</v>
      </c>
      <c r="C202" t="s">
        <v>15</v>
      </c>
      <c r="D202">
        <v>124.65</v>
      </c>
      <c r="E202">
        <v>147.1003</v>
      </c>
    </row>
    <row r="203" spans="1:5" x14ac:dyDescent="0.2">
      <c r="A203" t="str">
        <f t="shared" si="3"/>
        <v>Edmond Hope Center|Flint Hills- Riley County Health Department</v>
      </c>
      <c r="B203" t="s">
        <v>31</v>
      </c>
      <c r="C203" t="s">
        <v>14</v>
      </c>
      <c r="D203">
        <v>239.31666666666669</v>
      </c>
      <c r="E203">
        <v>277.40870000000001</v>
      </c>
    </row>
    <row r="204" spans="1:5" x14ac:dyDescent="0.2">
      <c r="A204" t="str">
        <f t="shared" si="3"/>
        <v>Edmond Hope Center|Washington Regional Medical Center</v>
      </c>
      <c r="B204" t="s">
        <v>31</v>
      </c>
      <c r="C204" t="s">
        <v>13</v>
      </c>
      <c r="D204">
        <v>187.7166666666667</v>
      </c>
      <c r="E204">
        <v>211.209</v>
      </c>
    </row>
    <row r="205" spans="1:5" x14ac:dyDescent="0.2">
      <c r="A205" t="str">
        <f t="shared" si="3"/>
        <v>Edmond Hope Center|South Central Medical Center</v>
      </c>
      <c r="B205" t="s">
        <v>31</v>
      </c>
      <c r="C205" t="s">
        <v>12</v>
      </c>
      <c r="D205">
        <v>72.233333333333334</v>
      </c>
      <c r="E205">
        <v>66.035600000000002</v>
      </c>
    </row>
    <row r="206" spans="1:5" x14ac:dyDescent="0.2">
      <c r="A206" t="str">
        <f t="shared" si="3"/>
        <v>Edmond Hope Center|Andrew County</v>
      </c>
      <c r="B206" t="s">
        <v>31</v>
      </c>
      <c r="C206" t="s">
        <v>11</v>
      </c>
      <c r="D206">
        <v>314.35000000000002</v>
      </c>
      <c r="E206">
        <v>386.86070000000001</v>
      </c>
    </row>
    <row r="207" spans="1:5" x14ac:dyDescent="0.2">
      <c r="A207" t="str">
        <f t="shared" si="3"/>
        <v>Edmond Hope Center|Comanche County Memorial Hospital</v>
      </c>
      <c r="B207" t="s">
        <v>31</v>
      </c>
      <c r="C207" t="s">
        <v>10</v>
      </c>
      <c r="D207">
        <v>92.2</v>
      </c>
      <c r="E207">
        <v>102.6052</v>
      </c>
    </row>
    <row r="208" spans="1:5" x14ac:dyDescent="0.2">
      <c r="A208" t="str">
        <f t="shared" si="3"/>
        <v>Edmond Hope Center|Garfield County Health Department</v>
      </c>
      <c r="B208" t="s">
        <v>31</v>
      </c>
      <c r="C208" t="s">
        <v>9</v>
      </c>
      <c r="D208">
        <v>75.916666666666671</v>
      </c>
      <c r="E208">
        <v>72.493499999999997</v>
      </c>
    </row>
    <row r="209" spans="1:5" x14ac:dyDescent="0.2">
      <c r="A209" t="str">
        <f t="shared" si="3"/>
        <v>Edmond Hope Center|Grady County</v>
      </c>
      <c r="B209" t="s">
        <v>31</v>
      </c>
      <c r="C209" t="s">
        <v>8</v>
      </c>
      <c r="D209">
        <v>57.466666666666669</v>
      </c>
      <c r="E209">
        <v>58.353000000000002</v>
      </c>
    </row>
    <row r="210" spans="1:5" x14ac:dyDescent="0.2">
      <c r="A210" t="str">
        <f t="shared" si="3"/>
        <v>Edmond Hope Center|Beckham County</v>
      </c>
      <c r="B210" t="s">
        <v>31</v>
      </c>
      <c r="C210" t="s">
        <v>7</v>
      </c>
      <c r="D210">
        <v>109.1333333333333</v>
      </c>
      <c r="E210">
        <v>126.2166</v>
      </c>
    </row>
    <row r="211" spans="1:5" x14ac:dyDescent="0.2">
      <c r="A211" t="str">
        <f t="shared" si="3"/>
        <v>Edmond Hope Center|Custer County</v>
      </c>
      <c r="B211" t="s">
        <v>31</v>
      </c>
      <c r="C211" t="s">
        <v>6</v>
      </c>
      <c r="D211">
        <v>90.033333333333331</v>
      </c>
      <c r="E211">
        <v>100.6447</v>
      </c>
    </row>
    <row r="212" spans="1:5" x14ac:dyDescent="0.2">
      <c r="A212" t="str">
        <f t="shared" si="3"/>
        <v>Edmond Hope Center|Pontotoc County</v>
      </c>
      <c r="B212" t="s">
        <v>31</v>
      </c>
      <c r="C212" t="s">
        <v>5</v>
      </c>
      <c r="D212">
        <v>97.5</v>
      </c>
      <c r="E212">
        <v>100.5453</v>
      </c>
    </row>
    <row r="213" spans="1:5" x14ac:dyDescent="0.2">
      <c r="A213" t="str">
        <f t="shared" si="3"/>
        <v>Edmond Hope Center|McIntosh County</v>
      </c>
      <c r="B213" t="s">
        <v>31</v>
      </c>
      <c r="C213" t="s">
        <v>4</v>
      </c>
      <c r="D213">
        <v>112.2166666666667</v>
      </c>
      <c r="E213">
        <v>131.095</v>
      </c>
    </row>
    <row r="214" spans="1:5" x14ac:dyDescent="0.2">
      <c r="A214" t="str">
        <f t="shared" si="3"/>
        <v>Edmond Hope Center|Carter County Health Department</v>
      </c>
      <c r="B214" t="s">
        <v>31</v>
      </c>
      <c r="C214" t="s">
        <v>3</v>
      </c>
      <c r="D214">
        <v>102.18333333333329</v>
      </c>
      <c r="E214">
        <v>114.0707</v>
      </c>
    </row>
    <row r="215" spans="1:5" x14ac:dyDescent="0.2">
      <c r="A215" t="str">
        <f t="shared" si="3"/>
        <v>Edmond Hope Center|Jackson County Altus</v>
      </c>
      <c r="B215" t="s">
        <v>31</v>
      </c>
      <c r="C215" t="s">
        <v>2</v>
      </c>
      <c r="D215">
        <v>138.3833333333333</v>
      </c>
      <c r="E215">
        <v>154.24549999999999</v>
      </c>
    </row>
    <row r="216" spans="1:5" x14ac:dyDescent="0.2">
      <c r="A216" t="str">
        <f t="shared" si="3"/>
        <v>Edmond Hope Center|Alliance Health Woodward</v>
      </c>
      <c r="B216" t="s">
        <v>31</v>
      </c>
      <c r="C216" t="s">
        <v>0</v>
      </c>
      <c r="D216">
        <v>139.05000000000001</v>
      </c>
      <c r="E216">
        <v>141.19110000000001</v>
      </c>
    </row>
    <row r="217" spans="1:5" x14ac:dyDescent="0.2">
      <c r="A217" t="str">
        <f t="shared" si="3"/>
        <v>Edmond Hope Center|McAlester Regional Health</v>
      </c>
      <c r="B217" t="s">
        <v>31</v>
      </c>
      <c r="C217" t="s">
        <v>1</v>
      </c>
      <c r="D217">
        <v>126.3333333333333</v>
      </c>
      <c r="E217">
        <v>145.39529999999999</v>
      </c>
    </row>
    <row r="218" spans="1:5" x14ac:dyDescent="0.2">
      <c r="A218" t="str">
        <f t="shared" si="3"/>
        <v>Canadian Valley|Oklahoma Mothers’ Milk Bank</v>
      </c>
      <c r="B218" t="s">
        <v>30</v>
      </c>
      <c r="C218" t="s">
        <v>36</v>
      </c>
      <c r="D218">
        <v>20.783333333333331</v>
      </c>
      <c r="E218">
        <v>18.505700000000001</v>
      </c>
    </row>
    <row r="219" spans="1:5" x14ac:dyDescent="0.2">
      <c r="A219" t="str">
        <f t="shared" si="3"/>
        <v>Canadian Valley|Integris Southwest</v>
      </c>
      <c r="B219" t="s">
        <v>30</v>
      </c>
      <c r="C219" t="s">
        <v>35</v>
      </c>
      <c r="D219">
        <v>18.600000000000001</v>
      </c>
      <c r="E219">
        <v>16.3843</v>
      </c>
    </row>
    <row r="220" spans="1:5" x14ac:dyDescent="0.2">
      <c r="A220" t="str">
        <f t="shared" si="3"/>
        <v>Canadian Valley|Integris Baptist</v>
      </c>
      <c r="B220" t="s">
        <v>30</v>
      </c>
      <c r="C220" t="s">
        <v>34</v>
      </c>
      <c r="D220">
        <v>18.366666666666671</v>
      </c>
      <c r="E220">
        <v>16.613</v>
      </c>
    </row>
    <row r="221" spans="1:5" x14ac:dyDescent="0.2">
      <c r="A221" t="str">
        <f t="shared" si="3"/>
        <v>Canadian Valley|Cleveland County Moore</v>
      </c>
      <c r="B221" t="s">
        <v>30</v>
      </c>
      <c r="C221" t="s">
        <v>33</v>
      </c>
      <c r="D221">
        <v>27.45</v>
      </c>
      <c r="E221">
        <v>25.396699999999999</v>
      </c>
    </row>
    <row r="222" spans="1:5" x14ac:dyDescent="0.2">
      <c r="A222" t="str">
        <f t="shared" si="3"/>
        <v>Canadian Valley|Variety Care- Lafayette</v>
      </c>
      <c r="B222" t="s">
        <v>30</v>
      </c>
      <c r="C222" t="s">
        <v>32</v>
      </c>
      <c r="D222">
        <v>20.416666666666671</v>
      </c>
      <c r="E222">
        <v>17.056000000000001</v>
      </c>
    </row>
    <row r="223" spans="1:5" x14ac:dyDescent="0.2">
      <c r="A223" t="str">
        <f t="shared" si="3"/>
        <v>Canadian Valley|Edmond Hope Center</v>
      </c>
      <c r="B223" t="s">
        <v>30</v>
      </c>
      <c r="C223" t="s">
        <v>31</v>
      </c>
      <c r="D223">
        <v>32.666666666666657</v>
      </c>
      <c r="E223">
        <v>31.0642</v>
      </c>
    </row>
    <row r="224" spans="1:5" x14ac:dyDescent="0.2">
      <c r="A224" t="str">
        <f t="shared" si="3"/>
        <v>Canadian Valley|St. Anthony Shawnee Hospital</v>
      </c>
      <c r="B224" t="s">
        <v>30</v>
      </c>
      <c r="C224" t="s">
        <v>29</v>
      </c>
      <c r="D224">
        <v>50.116666666666667</v>
      </c>
      <c r="E224">
        <v>51.497399999999999</v>
      </c>
    </row>
    <row r="225" spans="1:5" x14ac:dyDescent="0.2">
      <c r="A225" t="str">
        <f t="shared" si="3"/>
        <v>Canadian Valley|OU Children’s Hospital</v>
      </c>
      <c r="B225" t="s">
        <v>30</v>
      </c>
      <c r="C225" t="s">
        <v>28</v>
      </c>
      <c r="D225">
        <v>21.266666666666669</v>
      </c>
      <c r="E225">
        <v>18.3</v>
      </c>
    </row>
    <row r="226" spans="1:5" x14ac:dyDescent="0.2">
      <c r="A226" t="str">
        <f t="shared" si="3"/>
        <v>Canadian Valley|OBI</v>
      </c>
      <c r="B226" t="s">
        <v>30</v>
      </c>
      <c r="C226" t="s">
        <v>27</v>
      </c>
      <c r="D226">
        <v>103.8333333333333</v>
      </c>
      <c r="E226">
        <v>123.8008</v>
      </c>
    </row>
    <row r="227" spans="1:5" x14ac:dyDescent="0.2">
      <c r="A227" t="str">
        <f t="shared" si="3"/>
        <v>Canadian Valley|Tulsa Hillcrest Hospital</v>
      </c>
      <c r="B227" t="s">
        <v>30</v>
      </c>
      <c r="C227" t="s">
        <v>26</v>
      </c>
      <c r="D227">
        <v>104.6166666666667</v>
      </c>
      <c r="E227">
        <v>124.2736</v>
      </c>
    </row>
    <row r="228" spans="1:5" x14ac:dyDescent="0.2">
      <c r="A228" t="str">
        <f t="shared" si="3"/>
        <v>Canadian Valley|St. John Owasso</v>
      </c>
      <c r="B228" t="s">
        <v>30</v>
      </c>
      <c r="C228" t="s">
        <v>25</v>
      </c>
      <c r="D228">
        <v>119.31666666666671</v>
      </c>
      <c r="E228">
        <v>140.4777</v>
      </c>
    </row>
    <row r="229" spans="1:5" x14ac:dyDescent="0.2">
      <c r="A229" t="str">
        <f t="shared" si="3"/>
        <v>Canadian Valley|Jane Phillips Medical Center</v>
      </c>
      <c r="B229" t="s">
        <v>30</v>
      </c>
      <c r="C229" t="s">
        <v>24</v>
      </c>
      <c r="D229">
        <v>141.01666666666671</v>
      </c>
      <c r="E229">
        <v>166.0061</v>
      </c>
    </row>
    <row r="230" spans="1:5" x14ac:dyDescent="0.2">
      <c r="A230" t="str">
        <f t="shared" si="3"/>
        <v>Canadian Valley|YWCA South</v>
      </c>
      <c r="B230" t="s">
        <v>30</v>
      </c>
      <c r="C230" t="s">
        <v>23</v>
      </c>
      <c r="D230">
        <v>103.93333333333329</v>
      </c>
      <c r="E230">
        <v>124.7546</v>
      </c>
    </row>
    <row r="231" spans="1:5" x14ac:dyDescent="0.2">
      <c r="A231" t="str">
        <f t="shared" si="3"/>
        <v>Canadian Valley|YWCA East</v>
      </c>
      <c r="B231" t="s">
        <v>30</v>
      </c>
      <c r="C231" t="s">
        <v>22</v>
      </c>
      <c r="D231">
        <v>107.9166666666667</v>
      </c>
      <c r="E231">
        <v>127.58799999999999</v>
      </c>
    </row>
    <row r="232" spans="1:5" x14ac:dyDescent="0.2">
      <c r="A232" t="str">
        <f t="shared" si="3"/>
        <v>Canadian Valley|KUMC - University of Kansas Health System</v>
      </c>
      <c r="B232" t="s">
        <v>30</v>
      </c>
      <c r="C232" t="s">
        <v>21</v>
      </c>
      <c r="D232">
        <v>295.36666666666667</v>
      </c>
      <c r="E232">
        <v>361.66789999999997</v>
      </c>
    </row>
    <row r="233" spans="1:5" x14ac:dyDescent="0.2">
      <c r="A233" t="str">
        <f t="shared" si="3"/>
        <v>Canadian Valley|KUMC - Kansas Health Systems – St. Francis Campus</v>
      </c>
      <c r="B233" t="s">
        <v>30</v>
      </c>
      <c r="C233" t="s">
        <v>20</v>
      </c>
      <c r="D233">
        <v>254.9</v>
      </c>
      <c r="E233">
        <v>308.10379999999998</v>
      </c>
    </row>
    <row r="234" spans="1:5" x14ac:dyDescent="0.2">
      <c r="A234" t="str">
        <f t="shared" si="3"/>
        <v>Canadian Valley|Shawnee Mission MC</v>
      </c>
      <c r="B234" t="s">
        <v>30</v>
      </c>
      <c r="C234" t="s">
        <v>19</v>
      </c>
      <c r="D234">
        <v>286.98333333333329</v>
      </c>
      <c r="E234">
        <v>353.23340000000002</v>
      </c>
    </row>
    <row r="235" spans="1:5" x14ac:dyDescent="0.2">
      <c r="A235" t="str">
        <f t="shared" si="3"/>
        <v>Canadian Valley|Woven Leaf</v>
      </c>
      <c r="B235" t="s">
        <v>30</v>
      </c>
      <c r="C235" t="s">
        <v>18</v>
      </c>
      <c r="D235">
        <v>221.5333333333333</v>
      </c>
      <c r="E235">
        <v>246.24629999999999</v>
      </c>
    </row>
    <row r="236" spans="1:5" x14ac:dyDescent="0.2">
      <c r="A236" t="str">
        <f t="shared" si="3"/>
        <v>Canadian Valley|Southeast KS Health Department</v>
      </c>
      <c r="B236" t="s">
        <v>30</v>
      </c>
      <c r="C236" t="s">
        <v>17</v>
      </c>
      <c r="D236">
        <v>236.85</v>
      </c>
      <c r="E236">
        <v>263.26190000000003</v>
      </c>
    </row>
    <row r="237" spans="1:5" x14ac:dyDescent="0.2">
      <c r="A237" t="str">
        <f t="shared" si="3"/>
        <v>Canadian Valley|Salina Regional</v>
      </c>
      <c r="B237" t="s">
        <v>30</v>
      </c>
      <c r="C237" t="s">
        <v>16</v>
      </c>
      <c r="D237">
        <v>220.6</v>
      </c>
      <c r="E237">
        <v>262.80270000000002</v>
      </c>
    </row>
    <row r="238" spans="1:5" x14ac:dyDescent="0.2">
      <c r="A238" t="str">
        <f t="shared" si="3"/>
        <v>Canadian Valley|Kansas Birth Justice Society</v>
      </c>
      <c r="B238" t="s">
        <v>30</v>
      </c>
      <c r="C238" t="s">
        <v>15</v>
      </c>
      <c r="D238">
        <v>148.1</v>
      </c>
      <c r="E238">
        <v>175.602</v>
      </c>
    </row>
    <row r="239" spans="1:5" x14ac:dyDescent="0.2">
      <c r="A239" t="str">
        <f t="shared" si="3"/>
        <v>Canadian Valley|Flint Hills- Riley County Health Department</v>
      </c>
      <c r="B239" t="s">
        <v>30</v>
      </c>
      <c r="C239" t="s">
        <v>14</v>
      </c>
      <c r="D239">
        <v>262.76666666666671</v>
      </c>
      <c r="E239">
        <v>305.91039999999998</v>
      </c>
    </row>
    <row r="240" spans="1:5" x14ac:dyDescent="0.2">
      <c r="A240" t="str">
        <f t="shared" si="3"/>
        <v>Canadian Valley|Washington Regional Medical Center</v>
      </c>
      <c r="B240" t="s">
        <v>30</v>
      </c>
      <c r="C240" t="s">
        <v>13</v>
      </c>
      <c r="D240">
        <v>203.8666666666667</v>
      </c>
      <c r="E240">
        <v>232.0119</v>
      </c>
    </row>
    <row r="241" spans="1:5" x14ac:dyDescent="0.2">
      <c r="A241" t="str">
        <f t="shared" si="3"/>
        <v>Canadian Valley|South Central Medical Center</v>
      </c>
      <c r="B241" t="s">
        <v>30</v>
      </c>
      <c r="C241" t="s">
        <v>12</v>
      </c>
      <c r="D241">
        <v>62.233333333333327</v>
      </c>
      <c r="E241">
        <v>54.097799999999999</v>
      </c>
    </row>
    <row r="242" spans="1:5" x14ac:dyDescent="0.2">
      <c r="A242" t="str">
        <f t="shared" si="3"/>
        <v>Canadian Valley|Andrew County</v>
      </c>
      <c r="B242" t="s">
        <v>30</v>
      </c>
      <c r="C242" t="s">
        <v>11</v>
      </c>
      <c r="D242">
        <v>337.8</v>
      </c>
      <c r="E242">
        <v>415.36239999999998</v>
      </c>
    </row>
    <row r="243" spans="1:5" x14ac:dyDescent="0.2">
      <c r="A243" t="str">
        <f t="shared" si="3"/>
        <v>Canadian Valley|Comanche County Memorial Hospital</v>
      </c>
      <c r="B243" t="s">
        <v>30</v>
      </c>
      <c r="C243" t="s">
        <v>10</v>
      </c>
      <c r="D243">
        <v>78.916666666666671</v>
      </c>
      <c r="E243">
        <v>84.564300000000003</v>
      </c>
    </row>
    <row r="244" spans="1:5" x14ac:dyDescent="0.2">
      <c r="A244" t="str">
        <f t="shared" si="3"/>
        <v>Canadian Valley|Garfield County Health Department</v>
      </c>
      <c r="B244" t="s">
        <v>30</v>
      </c>
      <c r="C244" t="s">
        <v>9</v>
      </c>
      <c r="D244">
        <v>80.466666666666669</v>
      </c>
      <c r="E244">
        <v>71.759699999999995</v>
      </c>
    </row>
    <row r="245" spans="1:5" x14ac:dyDescent="0.2">
      <c r="A245" t="str">
        <f t="shared" si="3"/>
        <v>Canadian Valley|Grady County</v>
      </c>
      <c r="B245" t="s">
        <v>30</v>
      </c>
      <c r="C245" t="s">
        <v>8</v>
      </c>
      <c r="D245">
        <v>44.166666666666657</v>
      </c>
      <c r="E245">
        <v>40.309600000000003</v>
      </c>
    </row>
    <row r="246" spans="1:5" x14ac:dyDescent="0.2">
      <c r="A246" t="str">
        <f t="shared" si="3"/>
        <v>Canadian Valley|Beckham County</v>
      </c>
      <c r="B246" t="s">
        <v>30</v>
      </c>
      <c r="C246" t="s">
        <v>7</v>
      </c>
      <c r="D246">
        <v>83.016666666666666</v>
      </c>
      <c r="E246">
        <v>97.503699999999995</v>
      </c>
    </row>
    <row r="247" spans="1:5" x14ac:dyDescent="0.2">
      <c r="A247" t="str">
        <f t="shared" si="3"/>
        <v>Canadian Valley|Custer County</v>
      </c>
      <c r="B247" t="s">
        <v>30</v>
      </c>
      <c r="C247" t="s">
        <v>6</v>
      </c>
      <c r="D247">
        <v>63.916666666666657</v>
      </c>
      <c r="E247">
        <v>71.931799999999996</v>
      </c>
    </row>
    <row r="248" spans="1:5" x14ac:dyDescent="0.2">
      <c r="A248" t="str">
        <f t="shared" si="3"/>
        <v>Canadian Valley|Pontotoc County</v>
      </c>
      <c r="B248" t="s">
        <v>30</v>
      </c>
      <c r="C248" t="s">
        <v>5</v>
      </c>
      <c r="D248">
        <v>96.85</v>
      </c>
      <c r="E248">
        <v>100.59690000000001</v>
      </c>
    </row>
    <row r="249" spans="1:5" x14ac:dyDescent="0.2">
      <c r="A249" t="str">
        <f t="shared" si="3"/>
        <v>Canadian Valley|McIntosh County</v>
      </c>
      <c r="B249" t="s">
        <v>30</v>
      </c>
      <c r="C249" t="s">
        <v>4</v>
      </c>
      <c r="D249">
        <v>111.56666666666671</v>
      </c>
      <c r="E249">
        <v>131.14660000000001</v>
      </c>
    </row>
    <row r="250" spans="1:5" x14ac:dyDescent="0.2">
      <c r="A250" t="str">
        <f t="shared" si="3"/>
        <v>Canadian Valley|Carter County Health Department</v>
      </c>
      <c r="B250" t="s">
        <v>30</v>
      </c>
      <c r="C250" t="s">
        <v>3</v>
      </c>
      <c r="D250">
        <v>103.9</v>
      </c>
      <c r="E250">
        <v>113.2548</v>
      </c>
    </row>
    <row r="251" spans="1:5" x14ac:dyDescent="0.2">
      <c r="A251" t="str">
        <f t="shared" si="3"/>
        <v>Canadian Valley|Jackson County Altus</v>
      </c>
      <c r="B251" t="s">
        <v>30</v>
      </c>
      <c r="C251" t="s">
        <v>2</v>
      </c>
      <c r="D251">
        <v>125.1</v>
      </c>
      <c r="E251">
        <v>136.2046</v>
      </c>
    </row>
    <row r="252" spans="1:5" x14ac:dyDescent="0.2">
      <c r="A252" t="str">
        <f t="shared" si="3"/>
        <v>Canadian Valley|Alliance Health Woodward</v>
      </c>
      <c r="B252" t="s">
        <v>30</v>
      </c>
      <c r="C252" t="s">
        <v>0</v>
      </c>
      <c r="D252">
        <v>117.9</v>
      </c>
      <c r="E252">
        <v>126.17</v>
      </c>
    </row>
    <row r="253" spans="1:5" x14ac:dyDescent="0.2">
      <c r="A253" t="str">
        <f t="shared" si="3"/>
        <v>Canadian Valley|McAlester Regional Health</v>
      </c>
      <c r="B253" t="s">
        <v>30</v>
      </c>
      <c r="C253" t="s">
        <v>1</v>
      </c>
      <c r="D253">
        <v>125.68333333333329</v>
      </c>
      <c r="E253">
        <v>145.4468</v>
      </c>
    </row>
    <row r="254" spans="1:5" x14ac:dyDescent="0.2">
      <c r="A254" t="str">
        <f t="shared" si="3"/>
        <v>St. Anthony Shawnee Hospital|Oklahoma Mothers’ Milk Bank</v>
      </c>
      <c r="B254" t="s">
        <v>29</v>
      </c>
      <c r="C254" t="s">
        <v>36</v>
      </c>
      <c r="D254">
        <v>35.81666666666667</v>
      </c>
      <c r="E254">
        <v>35.911499999999997</v>
      </c>
    </row>
    <row r="255" spans="1:5" x14ac:dyDescent="0.2">
      <c r="A255" t="str">
        <f t="shared" si="3"/>
        <v>St. Anthony Shawnee Hospital|Integris Southwest</v>
      </c>
      <c r="B255" t="s">
        <v>29</v>
      </c>
      <c r="C255" t="s">
        <v>35</v>
      </c>
      <c r="D255">
        <v>35.9</v>
      </c>
      <c r="E255">
        <v>36.914400000000001</v>
      </c>
    </row>
    <row r="256" spans="1:5" x14ac:dyDescent="0.2">
      <c r="A256" t="str">
        <f t="shared" si="3"/>
        <v>St. Anthony Shawnee Hospital|Integris Baptist</v>
      </c>
      <c r="B256" t="s">
        <v>29</v>
      </c>
      <c r="C256" t="s">
        <v>34</v>
      </c>
      <c r="D256">
        <v>42.866666666666667</v>
      </c>
      <c r="E256">
        <v>44.055199999999999</v>
      </c>
    </row>
    <row r="257" spans="1:5" x14ac:dyDescent="0.2">
      <c r="A257" t="str">
        <f t="shared" si="3"/>
        <v>St. Anthony Shawnee Hospital|Cleveland County Moore</v>
      </c>
      <c r="B257" t="s">
        <v>29</v>
      </c>
      <c r="C257" t="s">
        <v>33</v>
      </c>
      <c r="D257">
        <v>35.766666666666673</v>
      </c>
      <c r="E257">
        <v>35.838799999999999</v>
      </c>
    </row>
    <row r="258" spans="1:5" x14ac:dyDescent="0.2">
      <c r="A258" t="str">
        <f t="shared" ref="A258:A321" si="4">CONCATENATE(B258,"|",C258)</f>
        <v>St. Anthony Shawnee Hospital|Variety Care- Lafayette</v>
      </c>
      <c r="B258" t="s">
        <v>29</v>
      </c>
      <c r="C258" t="s">
        <v>32</v>
      </c>
      <c r="D258">
        <v>35.4</v>
      </c>
      <c r="E258">
        <v>36.2943</v>
      </c>
    </row>
    <row r="259" spans="1:5" x14ac:dyDescent="0.2">
      <c r="A259" t="str">
        <f t="shared" si="4"/>
        <v>St. Anthony Shawnee Hospital|Edmond Hope Center</v>
      </c>
      <c r="B259" t="s">
        <v>29</v>
      </c>
      <c r="C259" t="s">
        <v>31</v>
      </c>
      <c r="D259">
        <v>48.9</v>
      </c>
      <c r="E259">
        <v>49.997399999999999</v>
      </c>
    </row>
    <row r="260" spans="1:5" x14ac:dyDescent="0.2">
      <c r="A260" t="str">
        <f t="shared" si="4"/>
        <v>St. Anthony Shawnee Hospital|Canadian Valley</v>
      </c>
      <c r="B260" t="s">
        <v>29</v>
      </c>
      <c r="C260" t="s">
        <v>30</v>
      </c>
      <c r="D260">
        <v>48.8</v>
      </c>
      <c r="E260">
        <v>50.398800000000001</v>
      </c>
    </row>
    <row r="261" spans="1:5" x14ac:dyDescent="0.2">
      <c r="A261" t="str">
        <f t="shared" si="4"/>
        <v>St. Anthony Shawnee Hospital|OU Children’s Hospital</v>
      </c>
      <c r="B261" t="s">
        <v>29</v>
      </c>
      <c r="C261" t="s">
        <v>28</v>
      </c>
      <c r="D261">
        <v>36.299999999999997</v>
      </c>
      <c r="E261">
        <v>35.7059</v>
      </c>
    </row>
    <row r="262" spans="1:5" x14ac:dyDescent="0.2">
      <c r="A262" t="str">
        <f t="shared" si="4"/>
        <v>St. Anthony Shawnee Hospital|OBI</v>
      </c>
      <c r="B262" t="s">
        <v>29</v>
      </c>
      <c r="C262" t="s">
        <v>27</v>
      </c>
      <c r="D262">
        <v>85.55</v>
      </c>
      <c r="E262">
        <v>90.035399999999996</v>
      </c>
    </row>
    <row r="263" spans="1:5" x14ac:dyDescent="0.2">
      <c r="A263" t="str">
        <f t="shared" si="4"/>
        <v>St. Anthony Shawnee Hospital|Tulsa Hillcrest Hospital</v>
      </c>
      <c r="B263" t="s">
        <v>29</v>
      </c>
      <c r="C263" t="s">
        <v>26</v>
      </c>
      <c r="D263">
        <v>86.333333333333329</v>
      </c>
      <c r="E263">
        <v>90.508300000000006</v>
      </c>
    </row>
    <row r="264" spans="1:5" x14ac:dyDescent="0.2">
      <c r="A264" t="str">
        <f t="shared" si="4"/>
        <v>St. Anthony Shawnee Hospital|St. John Owasso</v>
      </c>
      <c r="B264" t="s">
        <v>29</v>
      </c>
      <c r="C264" t="s">
        <v>25</v>
      </c>
      <c r="D264">
        <v>101.0333333333333</v>
      </c>
      <c r="E264">
        <v>106.7124</v>
      </c>
    </row>
    <row r="265" spans="1:5" x14ac:dyDescent="0.2">
      <c r="A265" t="str">
        <f t="shared" si="4"/>
        <v>St. Anthony Shawnee Hospital|Jane Phillips Medical Center</v>
      </c>
      <c r="B265" t="s">
        <v>29</v>
      </c>
      <c r="C265" t="s">
        <v>24</v>
      </c>
      <c r="D265">
        <v>122.73333333333331</v>
      </c>
      <c r="E265">
        <v>132.24080000000001</v>
      </c>
    </row>
    <row r="266" spans="1:5" x14ac:dyDescent="0.2">
      <c r="A266" t="str">
        <f t="shared" si="4"/>
        <v>St. Anthony Shawnee Hospital|YWCA South</v>
      </c>
      <c r="B266" t="s">
        <v>29</v>
      </c>
      <c r="C266" t="s">
        <v>23</v>
      </c>
      <c r="D266">
        <v>85.65</v>
      </c>
      <c r="E266">
        <v>90.989199999999997</v>
      </c>
    </row>
    <row r="267" spans="1:5" x14ac:dyDescent="0.2">
      <c r="A267" t="str">
        <f t="shared" si="4"/>
        <v>St. Anthony Shawnee Hospital|YWCA East</v>
      </c>
      <c r="B267" t="s">
        <v>29</v>
      </c>
      <c r="C267" t="s">
        <v>22</v>
      </c>
      <c r="D267">
        <v>89.63333333333334</v>
      </c>
      <c r="E267">
        <v>93.822699999999998</v>
      </c>
    </row>
    <row r="268" spans="1:5" x14ac:dyDescent="0.2">
      <c r="A268" t="str">
        <f t="shared" si="4"/>
        <v>St. Anthony Shawnee Hospital|KUMC - University of Kansas Health System</v>
      </c>
      <c r="B268" t="s">
        <v>29</v>
      </c>
      <c r="C268" t="s">
        <v>21</v>
      </c>
      <c r="D268">
        <v>306.03333333333342</v>
      </c>
      <c r="E268">
        <v>327.99079999999998</v>
      </c>
    </row>
    <row r="269" spans="1:5" x14ac:dyDescent="0.2">
      <c r="A269" t="str">
        <f t="shared" si="4"/>
        <v>St. Anthony Shawnee Hospital|KUMC - Kansas Health Systems – St. Francis Campus</v>
      </c>
      <c r="B269" t="s">
        <v>29</v>
      </c>
      <c r="C269" t="s">
        <v>20</v>
      </c>
      <c r="D269">
        <v>267.3</v>
      </c>
      <c r="E269">
        <v>322.52769999999998</v>
      </c>
    </row>
    <row r="270" spans="1:5" x14ac:dyDescent="0.2">
      <c r="A270" t="str">
        <f t="shared" si="4"/>
        <v>St. Anthony Shawnee Hospital|Shawnee Mission MC</v>
      </c>
      <c r="B270" t="s">
        <v>29</v>
      </c>
      <c r="C270" t="s">
        <v>19</v>
      </c>
      <c r="D270">
        <v>297.64999999999998</v>
      </c>
      <c r="E270">
        <v>319.55630000000002</v>
      </c>
    </row>
    <row r="271" spans="1:5" x14ac:dyDescent="0.2">
      <c r="A271" t="str">
        <f t="shared" si="4"/>
        <v>St. Anthony Shawnee Hospital|Woven Leaf</v>
      </c>
      <c r="B271" t="s">
        <v>29</v>
      </c>
      <c r="C271" t="s">
        <v>18</v>
      </c>
      <c r="D271">
        <v>203.25</v>
      </c>
      <c r="E271">
        <v>212.48099999999999</v>
      </c>
    </row>
    <row r="272" spans="1:5" x14ac:dyDescent="0.2">
      <c r="A272" t="str">
        <f t="shared" si="4"/>
        <v>St. Anthony Shawnee Hospital|Southeast KS Health Department</v>
      </c>
      <c r="B272" t="s">
        <v>29</v>
      </c>
      <c r="C272" t="s">
        <v>17</v>
      </c>
      <c r="D272">
        <v>218.56666666666669</v>
      </c>
      <c r="E272">
        <v>229.4966</v>
      </c>
    </row>
    <row r="273" spans="1:5" x14ac:dyDescent="0.2">
      <c r="A273" t="str">
        <f t="shared" si="4"/>
        <v>St. Anthony Shawnee Hospital|Salina Regional</v>
      </c>
      <c r="B273" t="s">
        <v>29</v>
      </c>
      <c r="C273" t="s">
        <v>16</v>
      </c>
      <c r="D273">
        <v>233</v>
      </c>
      <c r="E273">
        <v>277.22660000000002</v>
      </c>
    </row>
    <row r="274" spans="1:5" x14ac:dyDescent="0.2">
      <c r="A274" t="str">
        <f t="shared" si="4"/>
        <v>St. Anthony Shawnee Hospital|Kansas Birth Justice Society</v>
      </c>
      <c r="B274" t="s">
        <v>29</v>
      </c>
      <c r="C274" t="s">
        <v>15</v>
      </c>
      <c r="D274">
        <v>160.5</v>
      </c>
      <c r="E274">
        <v>190.02590000000001</v>
      </c>
    </row>
    <row r="275" spans="1:5" x14ac:dyDescent="0.2">
      <c r="A275" t="str">
        <f t="shared" si="4"/>
        <v>St. Anthony Shawnee Hospital|Flint Hills- Riley County Health Department</v>
      </c>
      <c r="B275" t="s">
        <v>29</v>
      </c>
      <c r="C275" t="s">
        <v>14</v>
      </c>
      <c r="D275">
        <v>275.16666666666669</v>
      </c>
      <c r="E275">
        <v>320.33420000000001</v>
      </c>
    </row>
    <row r="276" spans="1:5" x14ac:dyDescent="0.2">
      <c r="A276" t="str">
        <f t="shared" si="4"/>
        <v>St. Anthony Shawnee Hospital|Washington Regional Medical Center</v>
      </c>
      <c r="B276" t="s">
        <v>29</v>
      </c>
      <c r="C276" t="s">
        <v>13</v>
      </c>
      <c r="D276">
        <v>170.73333333333329</v>
      </c>
      <c r="E276">
        <v>206.6643</v>
      </c>
    </row>
    <row r="277" spans="1:5" x14ac:dyDescent="0.2">
      <c r="A277" t="str">
        <f t="shared" si="4"/>
        <v>St. Anthony Shawnee Hospital|South Central Medical Center</v>
      </c>
      <c r="B277" t="s">
        <v>29</v>
      </c>
      <c r="C277" t="s">
        <v>12</v>
      </c>
      <c r="D277">
        <v>81.816666666666663</v>
      </c>
      <c r="E277">
        <v>80.962199999999996</v>
      </c>
    </row>
    <row r="278" spans="1:5" x14ac:dyDescent="0.2">
      <c r="A278" t="str">
        <f t="shared" si="4"/>
        <v>St. Anthony Shawnee Hospital|Andrew County</v>
      </c>
      <c r="B278" t="s">
        <v>29</v>
      </c>
      <c r="C278" t="s">
        <v>11</v>
      </c>
      <c r="D278">
        <v>350.2</v>
      </c>
      <c r="E278">
        <v>429.78629999999998</v>
      </c>
    </row>
    <row r="279" spans="1:5" x14ac:dyDescent="0.2">
      <c r="A279" t="str">
        <f t="shared" si="4"/>
        <v>St. Anthony Shawnee Hospital|Comanche County Memorial Hospital</v>
      </c>
      <c r="B279" t="s">
        <v>29</v>
      </c>
      <c r="C279" t="s">
        <v>10</v>
      </c>
      <c r="D279">
        <v>101.7833333333333</v>
      </c>
      <c r="E279">
        <v>117.5317</v>
      </c>
    </row>
    <row r="280" spans="1:5" x14ac:dyDescent="0.2">
      <c r="A280" t="str">
        <f t="shared" si="4"/>
        <v>St. Anthony Shawnee Hospital|Garfield County Health Department</v>
      </c>
      <c r="B280" t="s">
        <v>29</v>
      </c>
      <c r="C280" t="s">
        <v>9</v>
      </c>
      <c r="D280">
        <v>115.9166666666667</v>
      </c>
      <c r="E280">
        <v>127.3749</v>
      </c>
    </row>
    <row r="281" spans="1:5" x14ac:dyDescent="0.2">
      <c r="A281" t="str">
        <f t="shared" si="4"/>
        <v>St. Anthony Shawnee Hospital|Grady County</v>
      </c>
      <c r="B281" t="s">
        <v>29</v>
      </c>
      <c r="C281" t="s">
        <v>8</v>
      </c>
      <c r="D281">
        <v>67.05</v>
      </c>
      <c r="E281">
        <v>73.279499999999999</v>
      </c>
    </row>
    <row r="282" spans="1:5" x14ac:dyDescent="0.2">
      <c r="A282" t="str">
        <f t="shared" si="4"/>
        <v>St. Anthony Shawnee Hospital|Beckham County</v>
      </c>
      <c r="B282" t="s">
        <v>29</v>
      </c>
      <c r="C282" t="s">
        <v>7</v>
      </c>
      <c r="D282">
        <v>126.2166666666667</v>
      </c>
      <c r="E282">
        <v>146.62809999999999</v>
      </c>
    </row>
    <row r="283" spans="1:5" x14ac:dyDescent="0.2">
      <c r="A283" t="str">
        <f t="shared" si="4"/>
        <v>St. Anthony Shawnee Hospital|Custer County</v>
      </c>
      <c r="B283" t="s">
        <v>29</v>
      </c>
      <c r="C283" t="s">
        <v>6</v>
      </c>
      <c r="D283">
        <v>107.1166666666667</v>
      </c>
      <c r="E283">
        <v>121.0562</v>
      </c>
    </row>
    <row r="284" spans="1:5" x14ac:dyDescent="0.2">
      <c r="A284" t="str">
        <f t="shared" si="4"/>
        <v>St. Anthony Shawnee Hospital|Pontotoc County</v>
      </c>
      <c r="B284" t="s">
        <v>29</v>
      </c>
      <c r="C284" t="s">
        <v>5</v>
      </c>
      <c r="D284">
        <v>56.283333333333331</v>
      </c>
      <c r="E284">
        <v>53.595100000000002</v>
      </c>
    </row>
    <row r="285" spans="1:5" x14ac:dyDescent="0.2">
      <c r="A285" t="str">
        <f t="shared" si="4"/>
        <v>St. Anthony Shawnee Hospital|McIntosh County</v>
      </c>
      <c r="B285" t="s">
        <v>29</v>
      </c>
      <c r="C285" t="s">
        <v>4</v>
      </c>
      <c r="D285">
        <v>71.266666666666666</v>
      </c>
      <c r="E285">
        <v>83.355699999999999</v>
      </c>
    </row>
    <row r="286" spans="1:5" x14ac:dyDescent="0.2">
      <c r="A286" t="str">
        <f t="shared" si="4"/>
        <v>St. Anthony Shawnee Hospital|Carter County Health Department</v>
      </c>
      <c r="B286" t="s">
        <v>29</v>
      </c>
      <c r="C286" t="s">
        <v>3</v>
      </c>
      <c r="D286">
        <v>98.516666666666666</v>
      </c>
      <c r="E286">
        <v>93.853099999999998</v>
      </c>
    </row>
    <row r="287" spans="1:5" x14ac:dyDescent="0.2">
      <c r="A287" t="str">
        <f t="shared" si="4"/>
        <v>St. Anthony Shawnee Hospital|Jackson County Altus</v>
      </c>
      <c r="B287" t="s">
        <v>29</v>
      </c>
      <c r="C287" t="s">
        <v>2</v>
      </c>
      <c r="D287">
        <v>147.9666666666667</v>
      </c>
      <c r="E287">
        <v>169.172</v>
      </c>
    </row>
    <row r="288" spans="1:5" x14ac:dyDescent="0.2">
      <c r="A288" t="str">
        <f t="shared" si="4"/>
        <v>St. Anthony Shawnee Hospital|Alliance Health Woodward</v>
      </c>
      <c r="B288" t="s">
        <v>29</v>
      </c>
      <c r="C288" t="s">
        <v>0</v>
      </c>
      <c r="D288">
        <v>161.1</v>
      </c>
      <c r="E288">
        <v>175.2944</v>
      </c>
    </row>
    <row r="289" spans="1:5" x14ac:dyDescent="0.2">
      <c r="A289" t="str">
        <f t="shared" si="4"/>
        <v>St. Anthony Shawnee Hospital|McAlester Regional Health</v>
      </c>
      <c r="B289" t="s">
        <v>29</v>
      </c>
      <c r="C289" t="s">
        <v>1</v>
      </c>
      <c r="D289">
        <v>85.38333333333334</v>
      </c>
      <c r="E289">
        <v>97.655900000000003</v>
      </c>
    </row>
    <row r="290" spans="1:5" x14ac:dyDescent="0.2">
      <c r="A290" t="str">
        <f t="shared" si="4"/>
        <v>OU Children’s Hospital|Oklahoma Mothers’ Milk Bank</v>
      </c>
      <c r="B290" t="s">
        <v>28</v>
      </c>
      <c r="C290" t="s">
        <v>36</v>
      </c>
      <c r="D290">
        <v>1.4333333333333329</v>
      </c>
      <c r="E290">
        <v>0.26529999999999998</v>
      </c>
    </row>
    <row r="291" spans="1:5" x14ac:dyDescent="0.2">
      <c r="A291" t="str">
        <f t="shared" si="4"/>
        <v>OU Children’s Hospital|Integris Southwest</v>
      </c>
      <c r="B291" t="s">
        <v>28</v>
      </c>
      <c r="C291" t="s">
        <v>35</v>
      </c>
      <c r="D291">
        <v>12.116666666666671</v>
      </c>
      <c r="E291">
        <v>6.5362</v>
      </c>
    </row>
    <row r="292" spans="1:5" x14ac:dyDescent="0.2">
      <c r="A292" t="str">
        <f t="shared" si="4"/>
        <v>OU Children’s Hospital|Integris Baptist</v>
      </c>
      <c r="B292" t="s">
        <v>28</v>
      </c>
      <c r="C292" t="s">
        <v>34</v>
      </c>
      <c r="D292">
        <v>14.733333333333331</v>
      </c>
      <c r="E292">
        <v>8.1684999999999999</v>
      </c>
    </row>
    <row r="293" spans="1:5" x14ac:dyDescent="0.2">
      <c r="A293" t="str">
        <f t="shared" si="4"/>
        <v>OU Children’s Hospital|Cleveland County Moore</v>
      </c>
      <c r="B293" t="s">
        <v>28</v>
      </c>
      <c r="C293" t="s">
        <v>33</v>
      </c>
      <c r="D293">
        <v>20.81666666666667</v>
      </c>
      <c r="E293">
        <v>11.7104</v>
      </c>
    </row>
    <row r="294" spans="1:5" x14ac:dyDescent="0.2">
      <c r="A294" t="str">
        <f t="shared" si="4"/>
        <v>OU Children’s Hospital|Variety Care- Lafayette</v>
      </c>
      <c r="B294" t="s">
        <v>28</v>
      </c>
      <c r="C294" t="s">
        <v>32</v>
      </c>
      <c r="D294">
        <v>13.983333333333331</v>
      </c>
      <c r="E294">
        <v>5.9210000000000003</v>
      </c>
    </row>
    <row r="295" spans="1:5" x14ac:dyDescent="0.2">
      <c r="A295" t="str">
        <f t="shared" si="4"/>
        <v>OU Children’s Hospital|Edmond Hope Center</v>
      </c>
      <c r="B295" t="s">
        <v>28</v>
      </c>
      <c r="C295" t="s">
        <v>31</v>
      </c>
      <c r="D295">
        <v>21.85</v>
      </c>
      <c r="E295">
        <v>14.493499999999999</v>
      </c>
    </row>
    <row r="296" spans="1:5" x14ac:dyDescent="0.2">
      <c r="A296" t="str">
        <f t="shared" si="4"/>
        <v>OU Children’s Hospital|Canadian Valley</v>
      </c>
      <c r="B296" t="s">
        <v>28</v>
      </c>
      <c r="C296" t="s">
        <v>30</v>
      </c>
      <c r="D296">
        <v>22.133333333333329</v>
      </c>
      <c r="E296">
        <v>18.267700000000001</v>
      </c>
    </row>
    <row r="297" spans="1:5" x14ac:dyDescent="0.2">
      <c r="A297" t="str">
        <f t="shared" si="4"/>
        <v>OU Children’s Hospital|St. Anthony Shawnee Hospital</v>
      </c>
      <c r="B297" t="s">
        <v>28</v>
      </c>
      <c r="C297" t="s">
        <v>29</v>
      </c>
      <c r="D297">
        <v>39.866666666666667</v>
      </c>
      <c r="E297">
        <v>37.279200000000003</v>
      </c>
    </row>
    <row r="298" spans="1:5" x14ac:dyDescent="0.2">
      <c r="A298" t="str">
        <f t="shared" si="4"/>
        <v>OU Children’s Hospital|OBI</v>
      </c>
      <c r="B298" t="s">
        <v>28</v>
      </c>
      <c r="C298" t="s">
        <v>27</v>
      </c>
      <c r="D298">
        <v>91.35</v>
      </c>
      <c r="E298">
        <v>105.6331</v>
      </c>
    </row>
    <row r="299" spans="1:5" x14ac:dyDescent="0.2">
      <c r="A299" t="str">
        <f t="shared" si="4"/>
        <v>OU Children’s Hospital|Tulsa Hillcrest Hospital</v>
      </c>
      <c r="B299" t="s">
        <v>28</v>
      </c>
      <c r="C299" t="s">
        <v>26</v>
      </c>
      <c r="D299">
        <v>92.13333333333334</v>
      </c>
      <c r="E299">
        <v>106.10599999999999</v>
      </c>
    </row>
    <row r="300" spans="1:5" x14ac:dyDescent="0.2">
      <c r="A300" t="str">
        <f t="shared" si="4"/>
        <v>OU Children’s Hospital|St. John Owasso</v>
      </c>
      <c r="B300" t="s">
        <v>28</v>
      </c>
      <c r="C300" t="s">
        <v>25</v>
      </c>
      <c r="D300">
        <v>106.8333333333333</v>
      </c>
      <c r="E300">
        <v>122.31010000000001</v>
      </c>
    </row>
    <row r="301" spans="1:5" x14ac:dyDescent="0.2">
      <c r="A301" t="str">
        <f t="shared" si="4"/>
        <v>OU Children’s Hospital|Jane Phillips Medical Center</v>
      </c>
      <c r="B301" t="s">
        <v>28</v>
      </c>
      <c r="C301" t="s">
        <v>24</v>
      </c>
      <c r="D301">
        <v>128.5333333333333</v>
      </c>
      <c r="E301">
        <v>147.83850000000001</v>
      </c>
    </row>
    <row r="302" spans="1:5" x14ac:dyDescent="0.2">
      <c r="A302" t="str">
        <f t="shared" si="4"/>
        <v>OU Children’s Hospital|YWCA South</v>
      </c>
      <c r="B302" t="s">
        <v>28</v>
      </c>
      <c r="C302" t="s">
        <v>23</v>
      </c>
      <c r="D302">
        <v>91.45</v>
      </c>
      <c r="E302">
        <v>106.5869</v>
      </c>
    </row>
    <row r="303" spans="1:5" x14ac:dyDescent="0.2">
      <c r="A303" t="str">
        <f t="shared" si="4"/>
        <v>OU Children’s Hospital|YWCA East</v>
      </c>
      <c r="B303" t="s">
        <v>28</v>
      </c>
      <c r="C303" t="s">
        <v>22</v>
      </c>
      <c r="D303">
        <v>95.433333333333337</v>
      </c>
      <c r="E303">
        <v>109.4204</v>
      </c>
    </row>
    <row r="304" spans="1:5" x14ac:dyDescent="0.2">
      <c r="A304" t="str">
        <f t="shared" si="4"/>
        <v>OU Children’s Hospital|KUMC - University of Kansas Health System</v>
      </c>
      <c r="B304" t="s">
        <v>28</v>
      </c>
      <c r="C304" t="s">
        <v>21</v>
      </c>
      <c r="D304">
        <v>282.53333333333342</v>
      </c>
      <c r="E304">
        <v>345.2115</v>
      </c>
    </row>
    <row r="305" spans="1:5" x14ac:dyDescent="0.2">
      <c r="A305" t="str">
        <f t="shared" si="4"/>
        <v>OU Children’s Hospital|KUMC - Kansas Health Systems – St. Francis Campus</v>
      </c>
      <c r="B305" t="s">
        <v>28</v>
      </c>
      <c r="C305" t="s">
        <v>20</v>
      </c>
      <c r="D305">
        <v>242.06666666666669</v>
      </c>
      <c r="E305">
        <v>291.6474</v>
      </c>
    </row>
    <row r="306" spans="1:5" x14ac:dyDescent="0.2">
      <c r="A306" t="str">
        <f t="shared" si="4"/>
        <v>OU Children’s Hospital|Shawnee Mission MC</v>
      </c>
      <c r="B306" t="s">
        <v>28</v>
      </c>
      <c r="C306" t="s">
        <v>19</v>
      </c>
      <c r="D306">
        <v>274.14999999999998</v>
      </c>
      <c r="E306">
        <v>336.77699999999999</v>
      </c>
    </row>
    <row r="307" spans="1:5" x14ac:dyDescent="0.2">
      <c r="A307" t="str">
        <f t="shared" si="4"/>
        <v>OU Children’s Hospital|Woven Leaf</v>
      </c>
      <c r="B307" t="s">
        <v>28</v>
      </c>
      <c r="C307" t="s">
        <v>18</v>
      </c>
      <c r="D307">
        <v>209.05</v>
      </c>
      <c r="E307">
        <v>228.07859999999999</v>
      </c>
    </row>
    <row r="308" spans="1:5" x14ac:dyDescent="0.2">
      <c r="A308" t="str">
        <f t="shared" si="4"/>
        <v>OU Children’s Hospital|Southeast KS Health Department</v>
      </c>
      <c r="B308" t="s">
        <v>28</v>
      </c>
      <c r="C308" t="s">
        <v>17</v>
      </c>
      <c r="D308">
        <v>224.3666666666667</v>
      </c>
      <c r="E308">
        <v>245.0943</v>
      </c>
    </row>
    <row r="309" spans="1:5" x14ac:dyDescent="0.2">
      <c r="A309" t="str">
        <f t="shared" si="4"/>
        <v>OU Children’s Hospital|Salina Regional</v>
      </c>
      <c r="B309" t="s">
        <v>28</v>
      </c>
      <c r="C309" t="s">
        <v>16</v>
      </c>
      <c r="D309">
        <v>207.76666666666671</v>
      </c>
      <c r="E309">
        <v>246.34630000000001</v>
      </c>
    </row>
    <row r="310" spans="1:5" x14ac:dyDescent="0.2">
      <c r="A310" t="str">
        <f t="shared" si="4"/>
        <v>OU Children’s Hospital|Kansas Birth Justice Society</v>
      </c>
      <c r="B310" t="s">
        <v>28</v>
      </c>
      <c r="C310" t="s">
        <v>15</v>
      </c>
      <c r="D310">
        <v>135.26666666666671</v>
      </c>
      <c r="E310">
        <v>159.1456</v>
      </c>
    </row>
    <row r="311" spans="1:5" x14ac:dyDescent="0.2">
      <c r="A311" t="str">
        <f t="shared" si="4"/>
        <v>OU Children’s Hospital|Flint Hills- Riley County Health Department</v>
      </c>
      <c r="B311" t="s">
        <v>28</v>
      </c>
      <c r="C311" t="s">
        <v>14</v>
      </c>
      <c r="D311">
        <v>249.93333333333331</v>
      </c>
      <c r="E311">
        <v>289.45400000000001</v>
      </c>
    </row>
    <row r="312" spans="1:5" x14ac:dyDescent="0.2">
      <c r="A312" t="str">
        <f t="shared" si="4"/>
        <v>OU Children’s Hospital|Washington Regional Medical Center</v>
      </c>
      <c r="B312" t="s">
        <v>28</v>
      </c>
      <c r="C312" t="s">
        <v>13</v>
      </c>
      <c r="D312">
        <v>191.3833333333333</v>
      </c>
      <c r="E312">
        <v>213.8443</v>
      </c>
    </row>
    <row r="313" spans="1:5" x14ac:dyDescent="0.2">
      <c r="A313" t="str">
        <f t="shared" si="4"/>
        <v>OU Children’s Hospital|South Central Medical Center</v>
      </c>
      <c r="B313" t="s">
        <v>28</v>
      </c>
      <c r="C313" t="s">
        <v>12</v>
      </c>
      <c r="D313">
        <v>61.18333333333333</v>
      </c>
      <c r="E313">
        <v>54.366900000000001</v>
      </c>
    </row>
    <row r="314" spans="1:5" x14ac:dyDescent="0.2">
      <c r="A314" t="str">
        <f t="shared" si="4"/>
        <v>OU Children’s Hospital|Andrew County</v>
      </c>
      <c r="B314" t="s">
        <v>28</v>
      </c>
      <c r="C314" t="s">
        <v>11</v>
      </c>
      <c r="D314">
        <v>324.96666666666658</v>
      </c>
      <c r="E314">
        <v>398.90600000000001</v>
      </c>
    </row>
    <row r="315" spans="1:5" x14ac:dyDescent="0.2">
      <c r="A315" t="str">
        <f t="shared" si="4"/>
        <v>OU Children’s Hospital|Comanche County Memorial Hospital</v>
      </c>
      <c r="B315" t="s">
        <v>28</v>
      </c>
      <c r="C315" t="s">
        <v>10</v>
      </c>
      <c r="D315">
        <v>81.150000000000006</v>
      </c>
      <c r="E315">
        <v>90.936400000000006</v>
      </c>
    </row>
    <row r="316" spans="1:5" x14ac:dyDescent="0.2">
      <c r="A316" t="str">
        <f t="shared" si="4"/>
        <v>OU Children’s Hospital|Garfield County Health Department</v>
      </c>
      <c r="B316" t="s">
        <v>28</v>
      </c>
      <c r="C316" t="s">
        <v>9</v>
      </c>
      <c r="D316">
        <v>89</v>
      </c>
      <c r="E316">
        <v>85.884100000000004</v>
      </c>
    </row>
    <row r="317" spans="1:5" x14ac:dyDescent="0.2">
      <c r="A317" t="str">
        <f t="shared" si="4"/>
        <v>OU Children’s Hospital|Grady County</v>
      </c>
      <c r="B317" t="s">
        <v>28</v>
      </c>
      <c r="C317" t="s">
        <v>8</v>
      </c>
      <c r="D317">
        <v>46.4</v>
      </c>
      <c r="E317">
        <v>46.681800000000003</v>
      </c>
    </row>
    <row r="318" spans="1:5" x14ac:dyDescent="0.2">
      <c r="A318" t="str">
        <f t="shared" si="4"/>
        <v>OU Children’s Hospital|Beckham County</v>
      </c>
      <c r="B318" t="s">
        <v>28</v>
      </c>
      <c r="C318" t="s">
        <v>7</v>
      </c>
      <c r="D318">
        <v>99.55</v>
      </c>
      <c r="E318">
        <v>114.497</v>
      </c>
    </row>
    <row r="319" spans="1:5" x14ac:dyDescent="0.2">
      <c r="A319" t="str">
        <f t="shared" si="4"/>
        <v>OU Children’s Hospital|Custer County</v>
      </c>
      <c r="B319" t="s">
        <v>28</v>
      </c>
      <c r="C319" t="s">
        <v>6</v>
      </c>
      <c r="D319">
        <v>80.45</v>
      </c>
      <c r="E319">
        <v>88.9251</v>
      </c>
    </row>
    <row r="320" spans="1:5" x14ac:dyDescent="0.2">
      <c r="A320" t="str">
        <f t="shared" si="4"/>
        <v>OU Children’s Hospital|Pontotoc County</v>
      </c>
      <c r="B320" t="s">
        <v>28</v>
      </c>
      <c r="C320" t="s">
        <v>5</v>
      </c>
      <c r="D320">
        <v>86.6</v>
      </c>
      <c r="E320">
        <v>86.378699999999995</v>
      </c>
    </row>
    <row r="321" spans="1:5" x14ac:dyDescent="0.2">
      <c r="A321" t="str">
        <f t="shared" si="4"/>
        <v>OU Children’s Hospital|McIntosh County</v>
      </c>
      <c r="B321" t="s">
        <v>28</v>
      </c>
      <c r="C321" t="s">
        <v>4</v>
      </c>
      <c r="D321">
        <v>101.31666666666671</v>
      </c>
      <c r="E321">
        <v>116.9284</v>
      </c>
    </row>
    <row r="322" spans="1:5" x14ac:dyDescent="0.2">
      <c r="A322" t="str">
        <f t="shared" ref="A322:A385" si="5">CONCATENATE(B322,"|",C322)</f>
        <v>OU Children’s Hospital|Carter County Health Department</v>
      </c>
      <c r="B322" t="s">
        <v>28</v>
      </c>
      <c r="C322" t="s">
        <v>3</v>
      </c>
      <c r="D322">
        <v>89.63333333333334</v>
      </c>
      <c r="E322">
        <v>100.67149999999999</v>
      </c>
    </row>
    <row r="323" spans="1:5" x14ac:dyDescent="0.2">
      <c r="A323" t="str">
        <f t="shared" si="5"/>
        <v>OU Children’s Hospital|Jackson County Altus</v>
      </c>
      <c r="B323" t="s">
        <v>28</v>
      </c>
      <c r="C323" t="s">
        <v>2</v>
      </c>
      <c r="D323">
        <v>127.3333333333333</v>
      </c>
      <c r="E323">
        <v>142.57669999999999</v>
      </c>
    </row>
    <row r="324" spans="1:5" x14ac:dyDescent="0.2">
      <c r="A324" t="str">
        <f t="shared" si="5"/>
        <v>OU Children’s Hospital|Alliance Health Woodward</v>
      </c>
      <c r="B324" t="s">
        <v>28</v>
      </c>
      <c r="C324" t="s">
        <v>0</v>
      </c>
      <c r="D324">
        <v>134.43333333333331</v>
      </c>
      <c r="E324">
        <v>143.16329999999999</v>
      </c>
    </row>
    <row r="325" spans="1:5" x14ac:dyDescent="0.2">
      <c r="A325" t="str">
        <f t="shared" si="5"/>
        <v>OU Children’s Hospital|McAlester Regional Health</v>
      </c>
      <c r="B325" t="s">
        <v>28</v>
      </c>
      <c r="C325" t="s">
        <v>1</v>
      </c>
      <c r="D325">
        <v>115.43333333333329</v>
      </c>
      <c r="E325">
        <v>131.2286</v>
      </c>
    </row>
    <row r="326" spans="1:5" x14ac:dyDescent="0.2">
      <c r="A326" t="str">
        <f t="shared" si="5"/>
        <v>OBI|Oklahoma Mothers’ Milk Bank</v>
      </c>
      <c r="B326" t="s">
        <v>27</v>
      </c>
      <c r="C326" t="s">
        <v>36</v>
      </c>
      <c r="D326">
        <v>90.766666666666666</v>
      </c>
      <c r="E326">
        <v>105.7499</v>
      </c>
    </row>
    <row r="327" spans="1:5" x14ac:dyDescent="0.2">
      <c r="A327" t="str">
        <f t="shared" si="5"/>
        <v>OBI|Integris Southwest</v>
      </c>
      <c r="B327" t="s">
        <v>27</v>
      </c>
      <c r="C327" t="s">
        <v>35</v>
      </c>
      <c r="D327">
        <v>94.7</v>
      </c>
      <c r="E327">
        <v>110.688</v>
      </c>
    </row>
    <row r="328" spans="1:5" x14ac:dyDescent="0.2">
      <c r="A328" t="str">
        <f t="shared" si="5"/>
        <v>OBI|Integris Baptist</v>
      </c>
      <c r="B328" t="s">
        <v>27</v>
      </c>
      <c r="C328" t="s">
        <v>34</v>
      </c>
      <c r="D328">
        <v>91.15</v>
      </c>
      <c r="E328">
        <v>106.4477</v>
      </c>
    </row>
    <row r="329" spans="1:5" x14ac:dyDescent="0.2">
      <c r="A329" t="str">
        <f t="shared" si="5"/>
        <v>OBI|Cleveland County Moore</v>
      </c>
      <c r="B329" t="s">
        <v>27</v>
      </c>
      <c r="C329" t="s">
        <v>33</v>
      </c>
      <c r="D329">
        <v>101.35</v>
      </c>
      <c r="E329">
        <v>113.8886</v>
      </c>
    </row>
    <row r="330" spans="1:5" x14ac:dyDescent="0.2">
      <c r="A330" t="str">
        <f t="shared" si="5"/>
        <v>OBI|Variety Care- Lafayette</v>
      </c>
      <c r="B330" t="s">
        <v>27</v>
      </c>
      <c r="C330" t="s">
        <v>32</v>
      </c>
      <c r="D330">
        <v>96.433333333333337</v>
      </c>
      <c r="E330">
        <v>110.824</v>
      </c>
    </row>
    <row r="331" spans="1:5" x14ac:dyDescent="0.2">
      <c r="A331" t="str">
        <f t="shared" si="5"/>
        <v>OBI|Edmond Hope Center</v>
      </c>
      <c r="B331" t="s">
        <v>27</v>
      </c>
      <c r="C331" t="s">
        <v>31</v>
      </c>
      <c r="D331">
        <v>87.36666666666666</v>
      </c>
      <c r="E331">
        <v>102.717</v>
      </c>
    </row>
    <row r="332" spans="1:5" x14ac:dyDescent="0.2">
      <c r="A332" t="str">
        <f t="shared" si="5"/>
        <v>OBI|Canadian Valley</v>
      </c>
      <c r="B332" t="s">
        <v>27</v>
      </c>
      <c r="C332" t="s">
        <v>30</v>
      </c>
      <c r="D332">
        <v>103.56666666666671</v>
      </c>
      <c r="E332">
        <v>123.3385</v>
      </c>
    </row>
    <row r="333" spans="1:5" x14ac:dyDescent="0.2">
      <c r="A333" t="str">
        <f t="shared" si="5"/>
        <v>OBI|St. Anthony Shawnee Hospital</v>
      </c>
      <c r="B333" t="s">
        <v>27</v>
      </c>
      <c r="C333" t="s">
        <v>29</v>
      </c>
      <c r="D333">
        <v>85.36666666666666</v>
      </c>
      <c r="E333">
        <v>90.165899999999993</v>
      </c>
    </row>
    <row r="334" spans="1:5" x14ac:dyDescent="0.2">
      <c r="A334" t="str">
        <f t="shared" si="5"/>
        <v>OBI|OU Children’s Hospital</v>
      </c>
      <c r="B334" t="s">
        <v>27</v>
      </c>
      <c r="C334" t="s">
        <v>28</v>
      </c>
      <c r="D334">
        <v>92.216666666666669</v>
      </c>
      <c r="E334">
        <v>105.8922</v>
      </c>
    </row>
    <row r="335" spans="1:5" x14ac:dyDescent="0.2">
      <c r="A335" t="str">
        <f t="shared" si="5"/>
        <v>OBI|Tulsa Hillcrest Hospital</v>
      </c>
      <c r="B335" t="s">
        <v>27</v>
      </c>
      <c r="C335" t="s">
        <v>26</v>
      </c>
      <c r="D335">
        <v>17.93333333333333</v>
      </c>
      <c r="E335">
        <v>12.478999999999999</v>
      </c>
    </row>
    <row r="336" spans="1:5" x14ac:dyDescent="0.2">
      <c r="A336" t="str">
        <f t="shared" si="5"/>
        <v>OBI|St. John Owasso</v>
      </c>
      <c r="B336" t="s">
        <v>27</v>
      </c>
      <c r="C336" t="s">
        <v>25</v>
      </c>
      <c r="D336">
        <v>26.916666666666671</v>
      </c>
      <c r="E336">
        <v>24.8443</v>
      </c>
    </row>
    <row r="337" spans="1:5" x14ac:dyDescent="0.2">
      <c r="A337" t="str">
        <f t="shared" si="5"/>
        <v>OBI|Jane Phillips Medical Center</v>
      </c>
      <c r="B337" t="s">
        <v>27</v>
      </c>
      <c r="C337" t="s">
        <v>24</v>
      </c>
      <c r="D337">
        <v>56.35</v>
      </c>
      <c r="E337">
        <v>56.020299999999999</v>
      </c>
    </row>
    <row r="338" spans="1:5" x14ac:dyDescent="0.2">
      <c r="A338" t="str">
        <f t="shared" si="5"/>
        <v>OBI|YWCA South</v>
      </c>
      <c r="B338" t="s">
        <v>27</v>
      </c>
      <c r="C338" t="s">
        <v>23</v>
      </c>
      <c r="D338">
        <v>14.4</v>
      </c>
      <c r="E338">
        <v>7.9877000000000002</v>
      </c>
    </row>
    <row r="339" spans="1:5" x14ac:dyDescent="0.2">
      <c r="A339" t="str">
        <f t="shared" si="5"/>
        <v>OBI|YWCA East</v>
      </c>
      <c r="B339" t="s">
        <v>27</v>
      </c>
      <c r="C339" t="s">
        <v>22</v>
      </c>
      <c r="D339">
        <v>15</v>
      </c>
      <c r="E339">
        <v>8.9613999999999994</v>
      </c>
    </row>
    <row r="340" spans="1:5" x14ac:dyDescent="0.2">
      <c r="A340" t="str">
        <f t="shared" si="5"/>
        <v>OBI|KUMC - University of Kansas Health System</v>
      </c>
      <c r="B340" t="s">
        <v>27</v>
      </c>
      <c r="C340" t="s">
        <v>21</v>
      </c>
      <c r="D340">
        <v>231.91666666666671</v>
      </c>
      <c r="E340">
        <v>246.12260000000001</v>
      </c>
    </row>
    <row r="341" spans="1:5" x14ac:dyDescent="0.2">
      <c r="A341" t="str">
        <f t="shared" si="5"/>
        <v>OBI|KUMC - Kansas Health Systems – St. Francis Campus</v>
      </c>
      <c r="B341" t="s">
        <v>27</v>
      </c>
      <c r="C341" t="s">
        <v>20</v>
      </c>
      <c r="D341">
        <v>232.68333333333331</v>
      </c>
      <c r="E341">
        <v>237.7354</v>
      </c>
    </row>
    <row r="342" spans="1:5" x14ac:dyDescent="0.2">
      <c r="A342" t="str">
        <f t="shared" si="5"/>
        <v>OBI|Shawnee Mission MC</v>
      </c>
      <c r="B342" t="s">
        <v>27</v>
      </c>
      <c r="C342" t="s">
        <v>19</v>
      </c>
      <c r="D342">
        <v>223.5333333333333</v>
      </c>
      <c r="E342">
        <v>237.68819999999999</v>
      </c>
    </row>
    <row r="343" spans="1:5" x14ac:dyDescent="0.2">
      <c r="A343" t="str">
        <f t="shared" si="5"/>
        <v>OBI|Woven Leaf</v>
      </c>
      <c r="B343" t="s">
        <v>27</v>
      </c>
      <c r="C343" t="s">
        <v>18</v>
      </c>
      <c r="D343">
        <v>129.1333333333333</v>
      </c>
      <c r="E343">
        <v>130.61279999999999</v>
      </c>
    </row>
    <row r="344" spans="1:5" x14ac:dyDescent="0.2">
      <c r="A344" t="str">
        <f t="shared" si="5"/>
        <v>OBI|Southeast KS Health Department</v>
      </c>
      <c r="B344" t="s">
        <v>27</v>
      </c>
      <c r="C344" t="s">
        <v>17</v>
      </c>
      <c r="D344">
        <v>144.44999999999999</v>
      </c>
      <c r="E344">
        <v>147.6285</v>
      </c>
    </row>
    <row r="345" spans="1:5" x14ac:dyDescent="0.2">
      <c r="A345" t="str">
        <f t="shared" si="5"/>
        <v>OBI|Salina Regional</v>
      </c>
      <c r="B345" t="s">
        <v>27</v>
      </c>
      <c r="C345" t="s">
        <v>16</v>
      </c>
      <c r="D345">
        <v>232.8833333333333</v>
      </c>
      <c r="E345">
        <v>274.23970000000003</v>
      </c>
    </row>
    <row r="346" spans="1:5" x14ac:dyDescent="0.2">
      <c r="A346" t="str">
        <f t="shared" si="5"/>
        <v>OBI|Kansas Birth Justice Society</v>
      </c>
      <c r="B346" t="s">
        <v>27</v>
      </c>
      <c r="C346" t="s">
        <v>15</v>
      </c>
      <c r="D346">
        <v>160.3833333333333</v>
      </c>
      <c r="E346">
        <v>187.03890000000001</v>
      </c>
    </row>
    <row r="347" spans="1:5" x14ac:dyDescent="0.2">
      <c r="A347" t="str">
        <f t="shared" si="5"/>
        <v>OBI|Flint Hills- Riley County Health Department</v>
      </c>
      <c r="B347" t="s">
        <v>27</v>
      </c>
      <c r="C347" t="s">
        <v>14</v>
      </c>
      <c r="D347">
        <v>275.86666666666667</v>
      </c>
      <c r="E347">
        <v>292.27929999999998</v>
      </c>
    </row>
    <row r="348" spans="1:5" x14ac:dyDescent="0.2">
      <c r="A348" t="str">
        <f t="shared" si="5"/>
        <v>OBI|Washington Regional Medical Center</v>
      </c>
      <c r="B348" t="s">
        <v>27</v>
      </c>
      <c r="C348" t="s">
        <v>13</v>
      </c>
      <c r="D348">
        <v>110.95</v>
      </c>
      <c r="E348">
        <v>113.3853</v>
      </c>
    </row>
    <row r="349" spans="1:5" x14ac:dyDescent="0.2">
      <c r="A349" t="str">
        <f t="shared" si="5"/>
        <v>OBI|South Central Medical Center</v>
      </c>
      <c r="B349" t="s">
        <v>27</v>
      </c>
      <c r="C349" t="s">
        <v>12</v>
      </c>
      <c r="D349">
        <v>143.76666666666671</v>
      </c>
      <c r="E349">
        <v>158.51859999999999</v>
      </c>
    </row>
    <row r="350" spans="1:5" x14ac:dyDescent="0.2">
      <c r="A350" t="str">
        <f t="shared" si="5"/>
        <v>OBI|Andrew County</v>
      </c>
      <c r="B350" t="s">
        <v>27</v>
      </c>
      <c r="C350" t="s">
        <v>11</v>
      </c>
      <c r="D350">
        <v>282.45</v>
      </c>
      <c r="E350">
        <v>307.32889999999998</v>
      </c>
    </row>
    <row r="351" spans="1:5" x14ac:dyDescent="0.2">
      <c r="A351" t="str">
        <f t="shared" si="5"/>
        <v>OBI|Comanche County Memorial Hospital</v>
      </c>
      <c r="B351" t="s">
        <v>27</v>
      </c>
      <c r="C351" t="s">
        <v>10</v>
      </c>
      <c r="D351">
        <v>163.73333333333329</v>
      </c>
      <c r="E351">
        <v>195.0882</v>
      </c>
    </row>
    <row r="352" spans="1:5" x14ac:dyDescent="0.2">
      <c r="A352" t="str">
        <f t="shared" si="5"/>
        <v>OBI|Garfield County Health Department</v>
      </c>
      <c r="B352" t="s">
        <v>27</v>
      </c>
      <c r="C352" t="s">
        <v>9</v>
      </c>
      <c r="D352">
        <v>115.25</v>
      </c>
      <c r="E352">
        <v>128.5188</v>
      </c>
    </row>
    <row r="353" spans="1:5" x14ac:dyDescent="0.2">
      <c r="A353" t="str">
        <f t="shared" si="5"/>
        <v>OBI|Grady County</v>
      </c>
      <c r="B353" t="s">
        <v>27</v>
      </c>
      <c r="C353" t="s">
        <v>8</v>
      </c>
      <c r="D353">
        <v>128.98333333333329</v>
      </c>
      <c r="E353">
        <v>150.83349999999999</v>
      </c>
    </row>
    <row r="354" spans="1:5" x14ac:dyDescent="0.2">
      <c r="A354" t="str">
        <f t="shared" si="5"/>
        <v>OBI|Beckham County</v>
      </c>
      <c r="B354" t="s">
        <v>27</v>
      </c>
      <c r="C354" t="s">
        <v>7</v>
      </c>
      <c r="D354">
        <v>180.98333333333329</v>
      </c>
      <c r="E354">
        <v>219.5677</v>
      </c>
    </row>
    <row r="355" spans="1:5" x14ac:dyDescent="0.2">
      <c r="A355" t="str">
        <f t="shared" si="5"/>
        <v>OBI|Custer County</v>
      </c>
      <c r="B355" t="s">
        <v>27</v>
      </c>
      <c r="C355" t="s">
        <v>6</v>
      </c>
      <c r="D355">
        <v>161.8833333333333</v>
      </c>
      <c r="E355">
        <v>193.9958</v>
      </c>
    </row>
    <row r="356" spans="1:5" x14ac:dyDescent="0.2">
      <c r="A356" t="str">
        <f t="shared" si="5"/>
        <v>OBI|Pontotoc County</v>
      </c>
      <c r="B356" t="s">
        <v>27</v>
      </c>
      <c r="C356" t="s">
        <v>5</v>
      </c>
      <c r="D356">
        <v>118.3666666666667</v>
      </c>
      <c r="E356">
        <v>122.2119</v>
      </c>
    </row>
    <row r="357" spans="1:5" x14ac:dyDescent="0.2">
      <c r="A357" t="str">
        <f t="shared" si="5"/>
        <v>OBI|McIntosh County</v>
      </c>
      <c r="B357" t="s">
        <v>27</v>
      </c>
      <c r="C357" t="s">
        <v>4</v>
      </c>
      <c r="D357">
        <v>65.733333333333334</v>
      </c>
      <c r="E357">
        <v>56.753599999999999</v>
      </c>
    </row>
    <row r="358" spans="1:5" x14ac:dyDescent="0.2">
      <c r="A358" t="str">
        <f t="shared" si="5"/>
        <v>OBI|Carter County Health Department</v>
      </c>
      <c r="B358" t="s">
        <v>27</v>
      </c>
      <c r="C358" t="s">
        <v>3</v>
      </c>
      <c r="D358">
        <v>178.76666666666671</v>
      </c>
      <c r="E358">
        <v>205.49369999999999</v>
      </c>
    </row>
    <row r="359" spans="1:5" x14ac:dyDescent="0.2">
      <c r="A359" t="str">
        <f t="shared" si="5"/>
        <v>OBI|Jackson County Altus</v>
      </c>
      <c r="B359" t="s">
        <v>27</v>
      </c>
      <c r="C359" t="s">
        <v>2</v>
      </c>
      <c r="D359">
        <v>209.91666666666671</v>
      </c>
      <c r="E359">
        <v>246.7285</v>
      </c>
    </row>
    <row r="360" spans="1:5" x14ac:dyDescent="0.2">
      <c r="A360" t="str">
        <f t="shared" si="5"/>
        <v>OBI|Alliance Health Woodward</v>
      </c>
      <c r="B360" t="s">
        <v>27</v>
      </c>
      <c r="C360" t="s">
        <v>0</v>
      </c>
      <c r="D360">
        <v>195.1333333333333</v>
      </c>
      <c r="E360">
        <v>214.64400000000001</v>
      </c>
    </row>
    <row r="361" spans="1:5" x14ac:dyDescent="0.2">
      <c r="A361" t="str">
        <f t="shared" si="5"/>
        <v>OBI|McAlester Regional Health</v>
      </c>
      <c r="B361" t="s">
        <v>27</v>
      </c>
      <c r="C361" t="s">
        <v>1</v>
      </c>
      <c r="D361">
        <v>90.35</v>
      </c>
      <c r="E361">
        <v>89.546999999999997</v>
      </c>
    </row>
    <row r="362" spans="1:5" x14ac:dyDescent="0.2">
      <c r="A362" t="str">
        <f t="shared" si="5"/>
        <v>Tulsa Hillcrest Hospital|Oklahoma Mothers’ Milk Bank</v>
      </c>
      <c r="B362" t="s">
        <v>26</v>
      </c>
      <c r="C362" t="s">
        <v>36</v>
      </c>
      <c r="D362">
        <v>92.716666666666669</v>
      </c>
      <c r="E362">
        <v>107.22320000000001</v>
      </c>
    </row>
    <row r="363" spans="1:5" x14ac:dyDescent="0.2">
      <c r="A363" t="str">
        <f t="shared" si="5"/>
        <v>Tulsa Hillcrest Hospital|Integris Southwest</v>
      </c>
      <c r="B363" t="s">
        <v>26</v>
      </c>
      <c r="C363" t="s">
        <v>35</v>
      </c>
      <c r="D363">
        <v>96.65</v>
      </c>
      <c r="E363">
        <v>112.16119999999999</v>
      </c>
    </row>
    <row r="364" spans="1:5" x14ac:dyDescent="0.2">
      <c r="A364" t="str">
        <f t="shared" si="5"/>
        <v>Tulsa Hillcrest Hospital|Integris Baptist</v>
      </c>
      <c r="B364" t="s">
        <v>26</v>
      </c>
      <c r="C364" t="s">
        <v>34</v>
      </c>
      <c r="D364">
        <v>93.1</v>
      </c>
      <c r="E364">
        <v>107.92100000000001</v>
      </c>
    </row>
    <row r="365" spans="1:5" x14ac:dyDescent="0.2">
      <c r="A365" t="str">
        <f t="shared" si="5"/>
        <v>Tulsa Hillcrest Hospital|Cleveland County Moore</v>
      </c>
      <c r="B365" t="s">
        <v>26</v>
      </c>
      <c r="C365" t="s">
        <v>33</v>
      </c>
      <c r="D365">
        <v>103.3</v>
      </c>
      <c r="E365">
        <v>115.36190000000001</v>
      </c>
    </row>
    <row r="366" spans="1:5" x14ac:dyDescent="0.2">
      <c r="A366" t="str">
        <f t="shared" si="5"/>
        <v>Tulsa Hillcrest Hospital|Variety Care- Lafayette</v>
      </c>
      <c r="B366" t="s">
        <v>26</v>
      </c>
      <c r="C366" t="s">
        <v>32</v>
      </c>
      <c r="D366">
        <v>98.38333333333334</v>
      </c>
      <c r="E366">
        <v>112.29730000000001</v>
      </c>
    </row>
    <row r="367" spans="1:5" x14ac:dyDescent="0.2">
      <c r="A367" t="str">
        <f t="shared" si="5"/>
        <v>Tulsa Hillcrest Hospital|Edmond Hope Center</v>
      </c>
      <c r="B367" t="s">
        <v>26</v>
      </c>
      <c r="C367" t="s">
        <v>31</v>
      </c>
      <c r="D367">
        <v>89.316666666666663</v>
      </c>
      <c r="E367">
        <v>104.19029999999999</v>
      </c>
    </row>
    <row r="368" spans="1:5" x14ac:dyDescent="0.2">
      <c r="A368" t="str">
        <f t="shared" si="5"/>
        <v>Tulsa Hillcrest Hospital|Canadian Valley</v>
      </c>
      <c r="B368" t="s">
        <v>26</v>
      </c>
      <c r="C368" t="s">
        <v>30</v>
      </c>
      <c r="D368">
        <v>105.51666666666669</v>
      </c>
      <c r="E368">
        <v>124.8117</v>
      </c>
    </row>
    <row r="369" spans="1:5" x14ac:dyDescent="0.2">
      <c r="A369" t="str">
        <f t="shared" si="5"/>
        <v>Tulsa Hillcrest Hospital|St. Anthony Shawnee Hospital</v>
      </c>
      <c r="B369" t="s">
        <v>26</v>
      </c>
      <c r="C369" t="s">
        <v>29</v>
      </c>
      <c r="D369">
        <v>87.316666666666663</v>
      </c>
      <c r="E369">
        <v>91.639200000000002</v>
      </c>
    </row>
    <row r="370" spans="1:5" x14ac:dyDescent="0.2">
      <c r="A370" t="str">
        <f t="shared" si="5"/>
        <v>Tulsa Hillcrest Hospital|OU Children’s Hospital</v>
      </c>
      <c r="B370" t="s">
        <v>26</v>
      </c>
      <c r="C370" t="s">
        <v>28</v>
      </c>
      <c r="D370">
        <v>94.166666666666671</v>
      </c>
      <c r="E370">
        <v>107.3655</v>
      </c>
    </row>
    <row r="371" spans="1:5" x14ac:dyDescent="0.2">
      <c r="A371" t="str">
        <f t="shared" si="5"/>
        <v>Tulsa Hillcrest Hospital|OBI</v>
      </c>
      <c r="B371" t="s">
        <v>26</v>
      </c>
      <c r="C371" t="s">
        <v>27</v>
      </c>
      <c r="D371">
        <v>16.533333333333331</v>
      </c>
      <c r="E371">
        <v>9.0085999999999995</v>
      </c>
    </row>
    <row r="372" spans="1:5" x14ac:dyDescent="0.2">
      <c r="A372" t="str">
        <f t="shared" si="5"/>
        <v>Tulsa Hillcrest Hospital|St. John Owasso</v>
      </c>
      <c r="B372" t="s">
        <v>26</v>
      </c>
      <c r="C372" t="s">
        <v>25</v>
      </c>
      <c r="D372">
        <v>21.05</v>
      </c>
      <c r="E372">
        <v>17.492799999999999</v>
      </c>
    </row>
    <row r="373" spans="1:5" x14ac:dyDescent="0.2">
      <c r="A373" t="str">
        <f t="shared" si="5"/>
        <v>Tulsa Hillcrest Hospital|Jane Phillips Medical Center</v>
      </c>
      <c r="B373" t="s">
        <v>26</v>
      </c>
      <c r="C373" t="s">
        <v>24</v>
      </c>
      <c r="D373">
        <v>43.06666666666667</v>
      </c>
      <c r="E373">
        <v>44.334800000000001</v>
      </c>
    </row>
    <row r="374" spans="1:5" x14ac:dyDescent="0.2">
      <c r="A374" t="str">
        <f t="shared" si="5"/>
        <v>Tulsa Hillcrest Hospital|YWCA South</v>
      </c>
      <c r="B374" t="s">
        <v>26</v>
      </c>
      <c r="C374" t="s">
        <v>23</v>
      </c>
      <c r="D374">
        <v>4.8</v>
      </c>
      <c r="E374">
        <v>1.7267999999999999</v>
      </c>
    </row>
    <row r="375" spans="1:5" x14ac:dyDescent="0.2">
      <c r="A375" t="str">
        <f t="shared" si="5"/>
        <v>Tulsa Hillcrest Hospital|YWCA East</v>
      </c>
      <c r="B375" t="s">
        <v>26</v>
      </c>
      <c r="C375" t="s">
        <v>22</v>
      </c>
      <c r="D375">
        <v>12.43333333333333</v>
      </c>
      <c r="E375">
        <v>7.5446999999999997</v>
      </c>
    </row>
    <row r="376" spans="1:5" x14ac:dyDescent="0.2">
      <c r="A376" t="str">
        <f t="shared" si="5"/>
        <v>Tulsa Hillcrest Hospital|KUMC - University of Kansas Health System</v>
      </c>
      <c r="B376" t="s">
        <v>26</v>
      </c>
      <c r="C376" t="s">
        <v>21</v>
      </c>
      <c r="D376">
        <v>226.05</v>
      </c>
      <c r="E376">
        <v>238.77119999999999</v>
      </c>
    </row>
    <row r="377" spans="1:5" x14ac:dyDescent="0.2">
      <c r="A377" t="str">
        <f t="shared" si="5"/>
        <v>Tulsa Hillcrest Hospital|KUMC - Kansas Health Systems – St. Francis Campus</v>
      </c>
      <c r="B377" t="s">
        <v>26</v>
      </c>
      <c r="C377" t="s">
        <v>20</v>
      </c>
      <c r="D377">
        <v>225.66666666666671</v>
      </c>
      <c r="E377">
        <v>226.19649999999999</v>
      </c>
    </row>
    <row r="378" spans="1:5" x14ac:dyDescent="0.2">
      <c r="A378" t="str">
        <f t="shared" si="5"/>
        <v>Tulsa Hillcrest Hospital|Shawnee Mission MC</v>
      </c>
      <c r="B378" t="s">
        <v>26</v>
      </c>
      <c r="C378" t="s">
        <v>19</v>
      </c>
      <c r="D378">
        <v>217.66666666666671</v>
      </c>
      <c r="E378">
        <v>230.33670000000001</v>
      </c>
    </row>
    <row r="379" spans="1:5" x14ac:dyDescent="0.2">
      <c r="A379" t="str">
        <f t="shared" si="5"/>
        <v>Tulsa Hillcrest Hospital|Woven Leaf</v>
      </c>
      <c r="B379" t="s">
        <v>26</v>
      </c>
      <c r="C379" t="s">
        <v>18</v>
      </c>
      <c r="D379">
        <v>123.26666666666669</v>
      </c>
      <c r="E379">
        <v>123.26139999999999</v>
      </c>
    </row>
    <row r="380" spans="1:5" x14ac:dyDescent="0.2">
      <c r="A380" t="str">
        <f t="shared" si="5"/>
        <v>Tulsa Hillcrest Hospital|Southeast KS Health Department</v>
      </c>
      <c r="B380" t="s">
        <v>26</v>
      </c>
      <c r="C380" t="s">
        <v>17</v>
      </c>
      <c r="D380">
        <v>138.58333333333329</v>
      </c>
      <c r="E380">
        <v>140.27699999999999</v>
      </c>
    </row>
    <row r="381" spans="1:5" x14ac:dyDescent="0.2">
      <c r="A381" t="str">
        <f t="shared" si="5"/>
        <v>Tulsa Hillcrest Hospital|Salina Regional</v>
      </c>
      <c r="B381" t="s">
        <v>26</v>
      </c>
      <c r="C381" t="s">
        <v>16</v>
      </c>
      <c r="D381">
        <v>223.0333333333333</v>
      </c>
      <c r="E381">
        <v>265.60820000000001</v>
      </c>
    </row>
    <row r="382" spans="1:5" x14ac:dyDescent="0.2">
      <c r="A382" t="str">
        <f t="shared" si="5"/>
        <v>Tulsa Hillcrest Hospital|Kansas Birth Justice Society</v>
      </c>
      <c r="B382" t="s">
        <v>26</v>
      </c>
      <c r="C382" t="s">
        <v>15</v>
      </c>
      <c r="D382">
        <v>150.5333333333333</v>
      </c>
      <c r="E382">
        <v>178.4075</v>
      </c>
    </row>
    <row r="383" spans="1:5" x14ac:dyDescent="0.2">
      <c r="A383" t="str">
        <f t="shared" si="5"/>
        <v>Tulsa Hillcrest Hospital|Flint Hills- Riley County Health Department</v>
      </c>
      <c r="B383" t="s">
        <v>26</v>
      </c>
      <c r="C383" t="s">
        <v>14</v>
      </c>
      <c r="D383">
        <v>262.10000000000002</v>
      </c>
      <c r="E383">
        <v>257.85719999999998</v>
      </c>
    </row>
    <row r="384" spans="1:5" x14ac:dyDescent="0.2">
      <c r="A384" t="str">
        <f t="shared" si="5"/>
        <v>Tulsa Hillcrest Hospital|Washington Regional Medical Center</v>
      </c>
      <c r="B384" t="s">
        <v>26</v>
      </c>
      <c r="C384" t="s">
        <v>13</v>
      </c>
      <c r="D384">
        <v>107.3333333333333</v>
      </c>
      <c r="E384">
        <v>110.5264</v>
      </c>
    </row>
    <row r="385" spans="1:5" x14ac:dyDescent="0.2">
      <c r="A385" t="str">
        <f t="shared" si="5"/>
        <v>Tulsa Hillcrest Hospital|South Central Medical Center</v>
      </c>
      <c r="B385" t="s">
        <v>26</v>
      </c>
      <c r="C385" t="s">
        <v>12</v>
      </c>
      <c r="D385">
        <v>145.7166666666667</v>
      </c>
      <c r="E385">
        <v>159.99189999999999</v>
      </c>
    </row>
    <row r="386" spans="1:5" x14ac:dyDescent="0.2">
      <c r="A386" t="str">
        <f t="shared" ref="A386:A449" si="6">CONCATENATE(B386,"|",C386)</f>
        <v>Tulsa Hillcrest Hospital|Andrew County</v>
      </c>
      <c r="B386" t="s">
        <v>26</v>
      </c>
      <c r="C386" t="s">
        <v>11</v>
      </c>
      <c r="D386">
        <v>276.58333333333331</v>
      </c>
      <c r="E386">
        <v>299.97750000000002</v>
      </c>
    </row>
    <row r="387" spans="1:5" x14ac:dyDescent="0.2">
      <c r="A387" t="str">
        <f t="shared" si="6"/>
        <v>Tulsa Hillcrest Hospital|Comanche County Memorial Hospital</v>
      </c>
      <c r="B387" t="s">
        <v>26</v>
      </c>
      <c r="C387" t="s">
        <v>10</v>
      </c>
      <c r="D387">
        <v>165.68333333333331</v>
      </c>
      <c r="E387">
        <v>196.5615</v>
      </c>
    </row>
    <row r="388" spans="1:5" x14ac:dyDescent="0.2">
      <c r="A388" t="str">
        <f t="shared" si="6"/>
        <v>Tulsa Hillcrest Hospital|Garfield County Health Department</v>
      </c>
      <c r="B388" t="s">
        <v>26</v>
      </c>
      <c r="C388" t="s">
        <v>9</v>
      </c>
      <c r="D388">
        <v>105.4</v>
      </c>
      <c r="E388">
        <v>119.8874</v>
      </c>
    </row>
    <row r="389" spans="1:5" x14ac:dyDescent="0.2">
      <c r="A389" t="str">
        <f t="shared" si="6"/>
        <v>Tulsa Hillcrest Hospital|Grady County</v>
      </c>
      <c r="B389" t="s">
        <v>26</v>
      </c>
      <c r="C389" t="s">
        <v>8</v>
      </c>
      <c r="D389">
        <v>130.93333333333331</v>
      </c>
      <c r="E389">
        <v>152.30680000000001</v>
      </c>
    </row>
    <row r="390" spans="1:5" x14ac:dyDescent="0.2">
      <c r="A390" t="str">
        <f t="shared" si="6"/>
        <v>Tulsa Hillcrest Hospital|Beckham County</v>
      </c>
      <c r="B390" t="s">
        <v>26</v>
      </c>
      <c r="C390" t="s">
        <v>7</v>
      </c>
      <c r="D390">
        <v>182.93333333333331</v>
      </c>
      <c r="E390">
        <v>221.041</v>
      </c>
    </row>
    <row r="391" spans="1:5" x14ac:dyDescent="0.2">
      <c r="A391" t="str">
        <f t="shared" si="6"/>
        <v>Tulsa Hillcrest Hospital|Custer County</v>
      </c>
      <c r="B391" t="s">
        <v>26</v>
      </c>
      <c r="C391" t="s">
        <v>6</v>
      </c>
      <c r="D391">
        <v>163.83333333333329</v>
      </c>
      <c r="E391">
        <v>195.4691</v>
      </c>
    </row>
    <row r="392" spans="1:5" x14ac:dyDescent="0.2">
      <c r="A392" t="str">
        <f t="shared" si="6"/>
        <v>Tulsa Hillcrest Hospital|Pontotoc County</v>
      </c>
      <c r="B392" t="s">
        <v>26</v>
      </c>
      <c r="C392" t="s">
        <v>5</v>
      </c>
      <c r="D392">
        <v>120.31666666666671</v>
      </c>
      <c r="E392">
        <v>123.68519999999999</v>
      </c>
    </row>
    <row r="393" spans="1:5" x14ac:dyDescent="0.2">
      <c r="A393" t="str">
        <f t="shared" si="6"/>
        <v>Tulsa Hillcrest Hospital|McIntosh County</v>
      </c>
      <c r="B393" t="s">
        <v>26</v>
      </c>
      <c r="C393" t="s">
        <v>4</v>
      </c>
      <c r="D393">
        <v>65.233333333333334</v>
      </c>
      <c r="E393">
        <v>67.588999999999999</v>
      </c>
    </row>
    <row r="394" spans="1:5" x14ac:dyDescent="0.2">
      <c r="A394" t="str">
        <f t="shared" si="6"/>
        <v>Tulsa Hillcrest Hospital|Carter County Health Department</v>
      </c>
      <c r="B394" t="s">
        <v>26</v>
      </c>
      <c r="C394" t="s">
        <v>3</v>
      </c>
      <c r="D394">
        <v>180.1333333333333</v>
      </c>
      <c r="E394">
        <v>205.75460000000001</v>
      </c>
    </row>
    <row r="395" spans="1:5" x14ac:dyDescent="0.2">
      <c r="A395" t="str">
        <f t="shared" si="6"/>
        <v>Tulsa Hillcrest Hospital|Jackson County Altus</v>
      </c>
      <c r="B395" t="s">
        <v>26</v>
      </c>
      <c r="C395" t="s">
        <v>2</v>
      </c>
      <c r="D395">
        <v>211.8666666666667</v>
      </c>
      <c r="E395">
        <v>248.20179999999999</v>
      </c>
    </row>
    <row r="396" spans="1:5" x14ac:dyDescent="0.2">
      <c r="A396" t="str">
        <f t="shared" si="6"/>
        <v>Tulsa Hillcrest Hospital|Alliance Health Woodward</v>
      </c>
      <c r="B396" t="s">
        <v>26</v>
      </c>
      <c r="C396" t="s">
        <v>0</v>
      </c>
      <c r="D396">
        <v>185.2833333333333</v>
      </c>
      <c r="E396">
        <v>206.01249999999999</v>
      </c>
    </row>
    <row r="397" spans="1:5" x14ac:dyDescent="0.2">
      <c r="A397" t="str">
        <f t="shared" si="6"/>
        <v>Tulsa Hillcrest Hospital|McAlester Regional Health</v>
      </c>
      <c r="B397" t="s">
        <v>26</v>
      </c>
      <c r="C397" t="s">
        <v>1</v>
      </c>
      <c r="D397">
        <v>97.016666666666666</v>
      </c>
      <c r="E397">
        <v>96.605800000000002</v>
      </c>
    </row>
    <row r="398" spans="1:5" x14ac:dyDescent="0.2">
      <c r="A398" t="str">
        <f t="shared" si="6"/>
        <v>St. John Owasso|Oklahoma Mothers’ Milk Bank</v>
      </c>
      <c r="B398" t="s">
        <v>25</v>
      </c>
      <c r="C398" t="s">
        <v>36</v>
      </c>
      <c r="D398">
        <v>105.93333333333329</v>
      </c>
      <c r="E398">
        <v>122.2492</v>
      </c>
    </row>
    <row r="399" spans="1:5" x14ac:dyDescent="0.2">
      <c r="A399" t="str">
        <f t="shared" si="6"/>
        <v>St. John Owasso|Integris Southwest</v>
      </c>
      <c r="B399" t="s">
        <v>25</v>
      </c>
      <c r="C399" t="s">
        <v>35</v>
      </c>
      <c r="D399">
        <v>109.8666666666667</v>
      </c>
      <c r="E399">
        <v>127.1872</v>
      </c>
    </row>
    <row r="400" spans="1:5" x14ac:dyDescent="0.2">
      <c r="A400" t="str">
        <f t="shared" si="6"/>
        <v>St. John Owasso|Integris Baptist</v>
      </c>
      <c r="B400" t="s">
        <v>25</v>
      </c>
      <c r="C400" t="s">
        <v>34</v>
      </c>
      <c r="D400">
        <v>106.31666666666671</v>
      </c>
      <c r="E400">
        <v>122.947</v>
      </c>
    </row>
    <row r="401" spans="1:5" x14ac:dyDescent="0.2">
      <c r="A401" t="str">
        <f t="shared" si="6"/>
        <v>St. John Owasso|Cleveland County Moore</v>
      </c>
      <c r="B401" t="s">
        <v>25</v>
      </c>
      <c r="C401" t="s">
        <v>33</v>
      </c>
      <c r="D401">
        <v>116.51666666666669</v>
      </c>
      <c r="E401">
        <v>130.3879</v>
      </c>
    </row>
    <row r="402" spans="1:5" x14ac:dyDescent="0.2">
      <c r="A402" t="str">
        <f t="shared" si="6"/>
        <v>St. John Owasso|Variety Care- Lafayette</v>
      </c>
      <c r="B402" t="s">
        <v>25</v>
      </c>
      <c r="C402" t="s">
        <v>32</v>
      </c>
      <c r="D402">
        <v>111.6</v>
      </c>
      <c r="E402">
        <v>127.3233</v>
      </c>
    </row>
    <row r="403" spans="1:5" x14ac:dyDescent="0.2">
      <c r="A403" t="str">
        <f t="shared" si="6"/>
        <v>St. John Owasso|Edmond Hope Center</v>
      </c>
      <c r="B403" t="s">
        <v>25</v>
      </c>
      <c r="C403" t="s">
        <v>31</v>
      </c>
      <c r="D403">
        <v>102.5333333333333</v>
      </c>
      <c r="E403">
        <v>119.2163</v>
      </c>
    </row>
    <row r="404" spans="1:5" x14ac:dyDescent="0.2">
      <c r="A404" t="str">
        <f t="shared" si="6"/>
        <v>St. John Owasso|Canadian Valley</v>
      </c>
      <c r="B404" t="s">
        <v>25</v>
      </c>
      <c r="C404" t="s">
        <v>30</v>
      </c>
      <c r="D404">
        <v>118.73333333333331</v>
      </c>
      <c r="E404">
        <v>139.83770000000001</v>
      </c>
    </row>
    <row r="405" spans="1:5" x14ac:dyDescent="0.2">
      <c r="A405" t="str">
        <f t="shared" si="6"/>
        <v>St. John Owasso|St. Anthony Shawnee Hospital</v>
      </c>
      <c r="B405" t="s">
        <v>25</v>
      </c>
      <c r="C405" t="s">
        <v>29</v>
      </c>
      <c r="D405">
        <v>100.5333333333333</v>
      </c>
      <c r="E405">
        <v>106.6652</v>
      </c>
    </row>
    <row r="406" spans="1:5" x14ac:dyDescent="0.2">
      <c r="A406" t="str">
        <f t="shared" si="6"/>
        <v>St. John Owasso|OU Children’s Hospital</v>
      </c>
      <c r="B406" t="s">
        <v>25</v>
      </c>
      <c r="C406" t="s">
        <v>28</v>
      </c>
      <c r="D406">
        <v>107.3833333333333</v>
      </c>
      <c r="E406">
        <v>122.39149999999999</v>
      </c>
    </row>
    <row r="407" spans="1:5" x14ac:dyDescent="0.2">
      <c r="A407" t="str">
        <f t="shared" si="6"/>
        <v>St. John Owasso|OBI</v>
      </c>
      <c r="B407" t="s">
        <v>25</v>
      </c>
      <c r="C407" t="s">
        <v>27</v>
      </c>
      <c r="D407">
        <v>24.6</v>
      </c>
      <c r="E407">
        <v>20.2517</v>
      </c>
    </row>
    <row r="408" spans="1:5" x14ac:dyDescent="0.2">
      <c r="A408" t="str">
        <f t="shared" si="6"/>
        <v>St. John Owasso|Tulsa Hillcrest Hospital</v>
      </c>
      <c r="B408" t="s">
        <v>25</v>
      </c>
      <c r="C408" t="s">
        <v>26</v>
      </c>
      <c r="D408">
        <v>21.083333333333329</v>
      </c>
      <c r="E408">
        <v>17.376000000000001</v>
      </c>
    </row>
    <row r="409" spans="1:5" x14ac:dyDescent="0.2">
      <c r="A409" t="str">
        <f t="shared" si="6"/>
        <v>St. John Owasso|Jane Phillips Medical Center</v>
      </c>
      <c r="B409" t="s">
        <v>25</v>
      </c>
      <c r="C409" t="s">
        <v>24</v>
      </c>
      <c r="D409">
        <v>40.31666666666667</v>
      </c>
      <c r="E409">
        <v>37.063499999999998</v>
      </c>
    </row>
    <row r="410" spans="1:5" x14ac:dyDescent="0.2">
      <c r="A410" t="str">
        <f t="shared" si="6"/>
        <v>St. John Owasso|YWCA South</v>
      </c>
      <c r="B410" t="s">
        <v>25</v>
      </c>
      <c r="C410" t="s">
        <v>23</v>
      </c>
      <c r="D410">
        <v>20.716666666666669</v>
      </c>
      <c r="E410">
        <v>18.6629</v>
      </c>
    </row>
    <row r="411" spans="1:5" x14ac:dyDescent="0.2">
      <c r="A411" t="str">
        <f t="shared" si="6"/>
        <v>St. John Owasso|YWCA East</v>
      </c>
      <c r="B411" t="s">
        <v>25</v>
      </c>
      <c r="C411" t="s">
        <v>22</v>
      </c>
      <c r="D411">
        <v>17.5</v>
      </c>
      <c r="E411">
        <v>14.2232</v>
      </c>
    </row>
    <row r="412" spans="1:5" x14ac:dyDescent="0.2">
      <c r="A412" t="str">
        <f t="shared" si="6"/>
        <v>St. John Owasso|KUMC - University of Kansas Health System</v>
      </c>
      <c r="B412" t="s">
        <v>25</v>
      </c>
      <c r="C412" t="s">
        <v>21</v>
      </c>
      <c r="D412">
        <v>210.65</v>
      </c>
      <c r="E412">
        <v>222.8759</v>
      </c>
    </row>
    <row r="413" spans="1:5" x14ac:dyDescent="0.2">
      <c r="A413" t="str">
        <f t="shared" si="6"/>
        <v>St. John Owasso|KUMC - Kansas Health Systems – St. Francis Campus</v>
      </c>
      <c r="B413" t="s">
        <v>25</v>
      </c>
      <c r="C413" t="s">
        <v>20</v>
      </c>
      <c r="D413">
        <v>211.41666666666671</v>
      </c>
      <c r="E413">
        <v>214.48859999999999</v>
      </c>
    </row>
    <row r="414" spans="1:5" x14ac:dyDescent="0.2">
      <c r="A414" t="str">
        <f t="shared" si="6"/>
        <v>St. John Owasso|Shawnee Mission MC</v>
      </c>
      <c r="B414" t="s">
        <v>25</v>
      </c>
      <c r="C414" t="s">
        <v>19</v>
      </c>
      <c r="D414">
        <v>202.26666666666671</v>
      </c>
      <c r="E414">
        <v>214.44139999999999</v>
      </c>
    </row>
    <row r="415" spans="1:5" x14ac:dyDescent="0.2">
      <c r="A415" t="str">
        <f t="shared" si="6"/>
        <v>St. John Owasso|Woven Leaf</v>
      </c>
      <c r="B415" t="s">
        <v>25</v>
      </c>
      <c r="C415" t="s">
        <v>18</v>
      </c>
      <c r="D415">
        <v>107.8666666666667</v>
      </c>
      <c r="E415">
        <v>107.3661</v>
      </c>
    </row>
    <row r="416" spans="1:5" x14ac:dyDescent="0.2">
      <c r="A416" t="str">
        <f t="shared" si="6"/>
        <v>St. John Owasso|Southeast KS Health Department</v>
      </c>
      <c r="B416" t="s">
        <v>25</v>
      </c>
      <c r="C416" t="s">
        <v>17</v>
      </c>
      <c r="D416">
        <v>123.18333333333329</v>
      </c>
      <c r="E416">
        <v>124.3817</v>
      </c>
    </row>
    <row r="417" spans="1:5" x14ac:dyDescent="0.2">
      <c r="A417" t="str">
        <f t="shared" si="6"/>
        <v>St. John Owasso|Salina Regional</v>
      </c>
      <c r="B417" t="s">
        <v>25</v>
      </c>
      <c r="C417" t="s">
        <v>16</v>
      </c>
      <c r="D417">
        <v>236.2166666666667</v>
      </c>
      <c r="E417">
        <v>280.58640000000003</v>
      </c>
    </row>
    <row r="418" spans="1:5" x14ac:dyDescent="0.2">
      <c r="A418" t="str">
        <f t="shared" si="6"/>
        <v>St. John Owasso|Kansas Birth Justice Society</v>
      </c>
      <c r="B418" t="s">
        <v>25</v>
      </c>
      <c r="C418" t="s">
        <v>15</v>
      </c>
      <c r="D418">
        <v>163.7166666666667</v>
      </c>
      <c r="E418">
        <v>193.38560000000001</v>
      </c>
    </row>
    <row r="419" spans="1:5" x14ac:dyDescent="0.2">
      <c r="A419" t="str">
        <f t="shared" si="6"/>
        <v>St. John Owasso|Flint Hills- Riley County Health Department</v>
      </c>
      <c r="B419" t="s">
        <v>25</v>
      </c>
      <c r="C419" t="s">
        <v>14</v>
      </c>
      <c r="D419">
        <v>254.6</v>
      </c>
      <c r="E419">
        <v>269.0326</v>
      </c>
    </row>
    <row r="420" spans="1:5" x14ac:dyDescent="0.2">
      <c r="A420" t="str">
        <f t="shared" si="6"/>
        <v>St. John Owasso|Washington Regional Medical Center</v>
      </c>
      <c r="B420" t="s">
        <v>25</v>
      </c>
      <c r="C420" t="s">
        <v>13</v>
      </c>
      <c r="D420">
        <v>109.7833333333333</v>
      </c>
      <c r="E420">
        <v>113.934</v>
      </c>
    </row>
    <row r="421" spans="1:5" x14ac:dyDescent="0.2">
      <c r="A421" t="str">
        <f t="shared" si="6"/>
        <v>St. John Owasso|South Central Medical Center</v>
      </c>
      <c r="B421" t="s">
        <v>25</v>
      </c>
      <c r="C421" t="s">
        <v>12</v>
      </c>
      <c r="D421">
        <v>158.93333333333331</v>
      </c>
      <c r="E421">
        <v>175.0179</v>
      </c>
    </row>
    <row r="422" spans="1:5" x14ac:dyDescent="0.2">
      <c r="A422" t="str">
        <f t="shared" si="6"/>
        <v>St. John Owasso|Andrew County</v>
      </c>
      <c r="B422" t="s">
        <v>25</v>
      </c>
      <c r="C422" t="s">
        <v>11</v>
      </c>
      <c r="D422">
        <v>261.18333333333328</v>
      </c>
      <c r="E422">
        <v>284.0822</v>
      </c>
    </row>
    <row r="423" spans="1:5" x14ac:dyDescent="0.2">
      <c r="A423" t="str">
        <f t="shared" si="6"/>
        <v>St. John Owasso|Comanche County Memorial Hospital</v>
      </c>
      <c r="B423" t="s">
        <v>25</v>
      </c>
      <c r="C423" t="s">
        <v>10</v>
      </c>
      <c r="D423">
        <v>178.9</v>
      </c>
      <c r="E423">
        <v>211.58750000000001</v>
      </c>
    </row>
    <row r="424" spans="1:5" x14ac:dyDescent="0.2">
      <c r="A424" t="str">
        <f t="shared" si="6"/>
        <v>St. John Owasso|Garfield County Health Department</v>
      </c>
      <c r="B424" t="s">
        <v>25</v>
      </c>
      <c r="C424" t="s">
        <v>9</v>
      </c>
      <c r="D424">
        <v>118.5833333333333</v>
      </c>
      <c r="E424">
        <v>134.8655</v>
      </c>
    </row>
    <row r="425" spans="1:5" x14ac:dyDescent="0.2">
      <c r="A425" t="str">
        <f t="shared" si="6"/>
        <v>St. John Owasso|Grady County</v>
      </c>
      <c r="B425" t="s">
        <v>25</v>
      </c>
      <c r="C425" t="s">
        <v>8</v>
      </c>
      <c r="D425">
        <v>144.15</v>
      </c>
      <c r="E425">
        <v>167.33279999999999</v>
      </c>
    </row>
    <row r="426" spans="1:5" x14ac:dyDescent="0.2">
      <c r="A426" t="str">
        <f t="shared" si="6"/>
        <v>St. John Owasso|Beckham County</v>
      </c>
      <c r="B426" t="s">
        <v>25</v>
      </c>
      <c r="C426" t="s">
        <v>7</v>
      </c>
      <c r="D426">
        <v>196.15</v>
      </c>
      <c r="E426">
        <v>236.06700000000001</v>
      </c>
    </row>
    <row r="427" spans="1:5" x14ac:dyDescent="0.2">
      <c r="A427" t="str">
        <f t="shared" si="6"/>
        <v>St. John Owasso|Custer County</v>
      </c>
      <c r="B427" t="s">
        <v>25</v>
      </c>
      <c r="C427" t="s">
        <v>6</v>
      </c>
      <c r="D427">
        <v>177.05</v>
      </c>
      <c r="E427">
        <v>210.49510000000001</v>
      </c>
    </row>
    <row r="428" spans="1:5" x14ac:dyDescent="0.2">
      <c r="A428" t="str">
        <f t="shared" si="6"/>
        <v>St. John Owasso|Pontotoc County</v>
      </c>
      <c r="B428" t="s">
        <v>25</v>
      </c>
      <c r="C428" t="s">
        <v>5</v>
      </c>
      <c r="D428">
        <v>133.5333333333333</v>
      </c>
      <c r="E428">
        <v>138.71119999999999</v>
      </c>
    </row>
    <row r="429" spans="1:5" x14ac:dyDescent="0.2">
      <c r="A429" t="str">
        <f t="shared" si="6"/>
        <v>St. John Owasso|McIntosh County</v>
      </c>
      <c r="B429" t="s">
        <v>25</v>
      </c>
      <c r="C429" t="s">
        <v>4</v>
      </c>
      <c r="D429">
        <v>71.483333333333334</v>
      </c>
      <c r="E429">
        <v>75.040499999999994</v>
      </c>
    </row>
    <row r="430" spans="1:5" x14ac:dyDescent="0.2">
      <c r="A430" t="str">
        <f t="shared" si="6"/>
        <v>St. John Owasso|Carter County Health Department</v>
      </c>
      <c r="B430" t="s">
        <v>25</v>
      </c>
      <c r="C430" t="s">
        <v>3</v>
      </c>
      <c r="D430">
        <v>193.35</v>
      </c>
      <c r="E430">
        <v>220.78059999999999</v>
      </c>
    </row>
    <row r="431" spans="1:5" x14ac:dyDescent="0.2">
      <c r="A431" t="str">
        <f t="shared" si="6"/>
        <v>St. John Owasso|Jackson County Altus</v>
      </c>
      <c r="B431" t="s">
        <v>25</v>
      </c>
      <c r="C431" t="s">
        <v>2</v>
      </c>
      <c r="D431">
        <v>225.08333333333329</v>
      </c>
      <c r="E431">
        <v>263.22770000000003</v>
      </c>
    </row>
    <row r="432" spans="1:5" x14ac:dyDescent="0.2">
      <c r="A432" t="str">
        <f t="shared" si="6"/>
        <v>St. John Owasso|Alliance Health Woodward</v>
      </c>
      <c r="B432" t="s">
        <v>25</v>
      </c>
      <c r="C432" t="s">
        <v>0</v>
      </c>
      <c r="D432">
        <v>198.4666666666667</v>
      </c>
      <c r="E432">
        <v>220.9907</v>
      </c>
    </row>
    <row r="433" spans="1:5" x14ac:dyDescent="0.2">
      <c r="A433" t="str">
        <f t="shared" si="6"/>
        <v>St. John Owasso|McAlester Regional Health</v>
      </c>
      <c r="B433" t="s">
        <v>25</v>
      </c>
      <c r="C433" t="s">
        <v>1</v>
      </c>
      <c r="D433">
        <v>106.93333333333329</v>
      </c>
      <c r="E433">
        <v>116.7619</v>
      </c>
    </row>
    <row r="434" spans="1:5" x14ac:dyDescent="0.2">
      <c r="A434" t="str">
        <f t="shared" si="6"/>
        <v>Jane Phillips Medical Center|Oklahoma Mothers’ Milk Bank</v>
      </c>
      <c r="B434" t="s">
        <v>24</v>
      </c>
      <c r="C434" t="s">
        <v>36</v>
      </c>
      <c r="D434">
        <v>129.35</v>
      </c>
      <c r="E434">
        <v>149.5367</v>
      </c>
    </row>
    <row r="435" spans="1:5" x14ac:dyDescent="0.2">
      <c r="A435" t="str">
        <f t="shared" si="6"/>
        <v>Jane Phillips Medical Center|Integris Southwest</v>
      </c>
      <c r="B435" t="s">
        <v>24</v>
      </c>
      <c r="C435" t="s">
        <v>35</v>
      </c>
      <c r="D435">
        <v>133.2833333333333</v>
      </c>
      <c r="E435">
        <v>154.47470000000001</v>
      </c>
    </row>
    <row r="436" spans="1:5" x14ac:dyDescent="0.2">
      <c r="A436" t="str">
        <f t="shared" si="6"/>
        <v>Jane Phillips Medical Center|Integris Baptist</v>
      </c>
      <c r="B436" t="s">
        <v>24</v>
      </c>
      <c r="C436" t="s">
        <v>34</v>
      </c>
      <c r="D436">
        <v>129.73333333333329</v>
      </c>
      <c r="E436">
        <v>150.2345</v>
      </c>
    </row>
    <row r="437" spans="1:5" x14ac:dyDescent="0.2">
      <c r="A437" t="str">
        <f t="shared" si="6"/>
        <v>Jane Phillips Medical Center|Cleveland County Moore</v>
      </c>
      <c r="B437" t="s">
        <v>24</v>
      </c>
      <c r="C437" t="s">
        <v>33</v>
      </c>
      <c r="D437">
        <v>139.93333333333331</v>
      </c>
      <c r="E437">
        <v>157.6754</v>
      </c>
    </row>
    <row r="438" spans="1:5" x14ac:dyDescent="0.2">
      <c r="A438" t="str">
        <f t="shared" si="6"/>
        <v>Jane Phillips Medical Center|Variety Care- Lafayette</v>
      </c>
      <c r="B438" t="s">
        <v>24</v>
      </c>
      <c r="C438" t="s">
        <v>32</v>
      </c>
      <c r="D438">
        <v>135.01666666666671</v>
      </c>
      <c r="E438">
        <v>154.61080000000001</v>
      </c>
    </row>
    <row r="439" spans="1:5" x14ac:dyDescent="0.2">
      <c r="A439" t="str">
        <f t="shared" si="6"/>
        <v>Jane Phillips Medical Center|Edmond Hope Center</v>
      </c>
      <c r="B439" t="s">
        <v>24</v>
      </c>
      <c r="C439" t="s">
        <v>31</v>
      </c>
      <c r="D439">
        <v>125.95</v>
      </c>
      <c r="E439">
        <v>146.50380000000001</v>
      </c>
    </row>
    <row r="440" spans="1:5" x14ac:dyDescent="0.2">
      <c r="A440" t="str">
        <f t="shared" si="6"/>
        <v>Jane Phillips Medical Center|Canadian Valley</v>
      </c>
      <c r="B440" t="s">
        <v>24</v>
      </c>
      <c r="C440" t="s">
        <v>30</v>
      </c>
      <c r="D440">
        <v>142.15</v>
      </c>
      <c r="E440">
        <v>167.12520000000001</v>
      </c>
    </row>
    <row r="441" spans="1:5" x14ac:dyDescent="0.2">
      <c r="A441" t="str">
        <f t="shared" si="6"/>
        <v>Jane Phillips Medical Center|St. Anthony Shawnee Hospital</v>
      </c>
      <c r="B441" t="s">
        <v>24</v>
      </c>
      <c r="C441" t="s">
        <v>29</v>
      </c>
      <c r="D441">
        <v>123.95</v>
      </c>
      <c r="E441">
        <v>133.95269999999999</v>
      </c>
    </row>
    <row r="442" spans="1:5" x14ac:dyDescent="0.2">
      <c r="A442" t="str">
        <f t="shared" si="6"/>
        <v>Jane Phillips Medical Center|OU Children’s Hospital</v>
      </c>
      <c r="B442" t="s">
        <v>24</v>
      </c>
      <c r="C442" t="s">
        <v>28</v>
      </c>
      <c r="D442">
        <v>130.80000000000001</v>
      </c>
      <c r="E442">
        <v>149.679</v>
      </c>
    </row>
    <row r="443" spans="1:5" x14ac:dyDescent="0.2">
      <c r="A443" t="str">
        <f t="shared" si="6"/>
        <v>Jane Phillips Medical Center|OBI</v>
      </c>
      <c r="B443" t="s">
        <v>24</v>
      </c>
      <c r="C443" t="s">
        <v>27</v>
      </c>
      <c r="D443">
        <v>54.06666666666667</v>
      </c>
      <c r="E443">
        <v>54.268700000000003</v>
      </c>
    </row>
    <row r="444" spans="1:5" x14ac:dyDescent="0.2">
      <c r="A444" t="str">
        <f t="shared" si="6"/>
        <v>Jane Phillips Medical Center|Tulsa Hillcrest Hospital</v>
      </c>
      <c r="B444" t="s">
        <v>24</v>
      </c>
      <c r="C444" t="s">
        <v>26</v>
      </c>
      <c r="D444">
        <v>43.2</v>
      </c>
      <c r="E444">
        <v>44.618200000000002</v>
      </c>
    </row>
    <row r="445" spans="1:5" x14ac:dyDescent="0.2">
      <c r="A445" t="str">
        <f t="shared" si="6"/>
        <v>Jane Phillips Medical Center|St. John Owasso</v>
      </c>
      <c r="B445" t="s">
        <v>24</v>
      </c>
      <c r="C445" t="s">
        <v>25</v>
      </c>
      <c r="D445">
        <v>39.56666666666667</v>
      </c>
      <c r="E445">
        <v>37.051699999999997</v>
      </c>
    </row>
    <row r="446" spans="1:5" x14ac:dyDescent="0.2">
      <c r="A446" t="str">
        <f t="shared" si="6"/>
        <v>Jane Phillips Medical Center|YWCA South</v>
      </c>
      <c r="B446" t="s">
        <v>24</v>
      </c>
      <c r="C446" t="s">
        <v>23</v>
      </c>
      <c r="D446">
        <v>42.516666666666673</v>
      </c>
      <c r="E446">
        <v>45.0991</v>
      </c>
    </row>
    <row r="447" spans="1:5" x14ac:dyDescent="0.2">
      <c r="A447" t="str">
        <f t="shared" si="6"/>
        <v>Jane Phillips Medical Center|YWCA East</v>
      </c>
      <c r="B447" t="s">
        <v>24</v>
      </c>
      <c r="C447" t="s">
        <v>22</v>
      </c>
      <c r="D447">
        <v>45.383333333333333</v>
      </c>
      <c r="E447">
        <v>45.744100000000003</v>
      </c>
    </row>
    <row r="448" spans="1:5" x14ac:dyDescent="0.2">
      <c r="A448" t="str">
        <f t="shared" si="6"/>
        <v>Jane Phillips Medical Center|KUMC - University of Kansas Health System</v>
      </c>
      <c r="B448" t="s">
        <v>24</v>
      </c>
      <c r="C448" t="s">
        <v>21</v>
      </c>
      <c r="D448">
        <v>190.8833333333333</v>
      </c>
      <c r="E448">
        <v>199.91249999999999</v>
      </c>
    </row>
    <row r="449" spans="1:5" x14ac:dyDescent="0.2">
      <c r="A449" t="str">
        <f t="shared" si="6"/>
        <v>Jane Phillips Medical Center|KUMC - Kansas Health Systems – St. Francis Campus</v>
      </c>
      <c r="B449" t="s">
        <v>24</v>
      </c>
      <c r="C449" t="s">
        <v>20</v>
      </c>
      <c r="D449">
        <v>184.1</v>
      </c>
      <c r="E449">
        <v>182.18170000000001</v>
      </c>
    </row>
    <row r="450" spans="1:5" x14ac:dyDescent="0.2">
      <c r="A450" t="str">
        <f t="shared" ref="A450:A513" si="7">CONCATENATE(B450,"|",C450)</f>
        <v>Jane Phillips Medical Center|Shawnee Mission MC</v>
      </c>
      <c r="B450" t="s">
        <v>24</v>
      </c>
      <c r="C450" t="s">
        <v>19</v>
      </c>
      <c r="D450">
        <v>182.5</v>
      </c>
      <c r="E450">
        <v>191.47800000000001</v>
      </c>
    </row>
    <row r="451" spans="1:5" x14ac:dyDescent="0.2">
      <c r="A451" t="str">
        <f t="shared" si="7"/>
        <v>Jane Phillips Medical Center|Woven Leaf</v>
      </c>
      <c r="B451" t="s">
        <v>24</v>
      </c>
      <c r="C451" t="s">
        <v>18</v>
      </c>
      <c r="D451">
        <v>88.1</v>
      </c>
      <c r="E451">
        <v>84.402699999999996</v>
      </c>
    </row>
    <row r="452" spans="1:5" x14ac:dyDescent="0.2">
      <c r="A452" t="str">
        <f t="shared" si="7"/>
        <v>Jane Phillips Medical Center|Southeast KS Health Department</v>
      </c>
      <c r="B452" t="s">
        <v>24</v>
      </c>
      <c r="C452" t="s">
        <v>17</v>
      </c>
      <c r="D452">
        <v>103.4166666666667</v>
      </c>
      <c r="E452">
        <v>101.4183</v>
      </c>
    </row>
    <row r="453" spans="1:5" x14ac:dyDescent="0.2">
      <c r="A453" t="str">
        <f t="shared" si="7"/>
        <v>Jane Phillips Medical Center|Salina Regional</v>
      </c>
      <c r="B453" t="s">
        <v>24</v>
      </c>
      <c r="C453" t="s">
        <v>16</v>
      </c>
      <c r="D453">
        <v>208.6</v>
      </c>
      <c r="E453">
        <v>221.92959999999999</v>
      </c>
    </row>
    <row r="454" spans="1:5" x14ac:dyDescent="0.2">
      <c r="A454" t="str">
        <f t="shared" si="7"/>
        <v>Jane Phillips Medical Center|Kansas Birth Justice Society</v>
      </c>
      <c r="B454" t="s">
        <v>24</v>
      </c>
      <c r="C454" t="s">
        <v>15</v>
      </c>
      <c r="D454">
        <v>136.1</v>
      </c>
      <c r="E454">
        <v>134.72880000000001</v>
      </c>
    </row>
    <row r="455" spans="1:5" x14ac:dyDescent="0.2">
      <c r="A455" t="str">
        <f t="shared" si="7"/>
        <v>Jane Phillips Medical Center|Flint Hills- Riley County Health Department</v>
      </c>
      <c r="B455" t="s">
        <v>24</v>
      </c>
      <c r="C455" t="s">
        <v>14</v>
      </c>
      <c r="D455">
        <v>220.5333333333333</v>
      </c>
      <c r="E455">
        <v>213.8424</v>
      </c>
    </row>
    <row r="456" spans="1:5" x14ac:dyDescent="0.2">
      <c r="A456" t="str">
        <f t="shared" si="7"/>
        <v>Jane Phillips Medical Center|Washington Regional Medical Center</v>
      </c>
      <c r="B456" t="s">
        <v>24</v>
      </c>
      <c r="C456" t="s">
        <v>13</v>
      </c>
      <c r="D456">
        <v>139.43333333333331</v>
      </c>
      <c r="E456">
        <v>148.5394</v>
      </c>
    </row>
    <row r="457" spans="1:5" x14ac:dyDescent="0.2">
      <c r="A457" t="str">
        <f t="shared" si="7"/>
        <v>Jane Phillips Medical Center|South Central Medical Center</v>
      </c>
      <c r="B457" t="s">
        <v>24</v>
      </c>
      <c r="C457" t="s">
        <v>12</v>
      </c>
      <c r="D457">
        <v>182.35</v>
      </c>
      <c r="E457">
        <v>202.30539999999999</v>
      </c>
    </row>
    <row r="458" spans="1:5" x14ac:dyDescent="0.2">
      <c r="A458" t="str">
        <f t="shared" si="7"/>
        <v>Jane Phillips Medical Center|Andrew County</v>
      </c>
      <c r="B458" t="s">
        <v>24</v>
      </c>
      <c r="C458" t="s">
        <v>11</v>
      </c>
      <c r="D458">
        <v>241.41666666666671</v>
      </c>
      <c r="E458">
        <v>261.11880000000002</v>
      </c>
    </row>
    <row r="459" spans="1:5" x14ac:dyDescent="0.2">
      <c r="A459" t="str">
        <f t="shared" si="7"/>
        <v>Jane Phillips Medical Center|Comanche County Memorial Hospital</v>
      </c>
      <c r="B459" t="s">
        <v>24</v>
      </c>
      <c r="C459" t="s">
        <v>10</v>
      </c>
      <c r="D459">
        <v>202.31666666666669</v>
      </c>
      <c r="E459">
        <v>238.875</v>
      </c>
    </row>
    <row r="460" spans="1:5" x14ac:dyDescent="0.2">
      <c r="A460" t="str">
        <f t="shared" si="7"/>
        <v>Jane Phillips Medical Center|Garfield County Health Department</v>
      </c>
      <c r="B460" t="s">
        <v>24</v>
      </c>
      <c r="C460" t="s">
        <v>9</v>
      </c>
      <c r="D460">
        <v>139.7166666666667</v>
      </c>
      <c r="E460">
        <v>160.00739999999999</v>
      </c>
    </row>
    <row r="461" spans="1:5" x14ac:dyDescent="0.2">
      <c r="A461" t="str">
        <f t="shared" si="7"/>
        <v>Jane Phillips Medical Center|Grady County</v>
      </c>
      <c r="B461" t="s">
        <v>24</v>
      </c>
      <c r="C461" t="s">
        <v>8</v>
      </c>
      <c r="D461">
        <v>167.56666666666669</v>
      </c>
      <c r="E461">
        <v>194.62029999999999</v>
      </c>
    </row>
    <row r="462" spans="1:5" x14ac:dyDescent="0.2">
      <c r="A462" t="str">
        <f t="shared" si="7"/>
        <v>Jane Phillips Medical Center|Beckham County</v>
      </c>
      <c r="B462" t="s">
        <v>24</v>
      </c>
      <c r="C462" t="s">
        <v>7</v>
      </c>
      <c r="D462">
        <v>219.56666666666669</v>
      </c>
      <c r="E462">
        <v>263.35449999999997</v>
      </c>
    </row>
    <row r="463" spans="1:5" x14ac:dyDescent="0.2">
      <c r="A463" t="str">
        <f t="shared" si="7"/>
        <v>Jane Phillips Medical Center|Custer County</v>
      </c>
      <c r="B463" t="s">
        <v>24</v>
      </c>
      <c r="C463" t="s">
        <v>6</v>
      </c>
      <c r="D463">
        <v>200.4666666666667</v>
      </c>
      <c r="E463">
        <v>237.7826</v>
      </c>
    </row>
    <row r="464" spans="1:5" x14ac:dyDescent="0.2">
      <c r="A464" t="str">
        <f t="shared" si="7"/>
        <v>Jane Phillips Medical Center|Pontotoc County</v>
      </c>
      <c r="B464" t="s">
        <v>24</v>
      </c>
      <c r="C464" t="s">
        <v>5</v>
      </c>
      <c r="D464">
        <v>156.94999999999999</v>
      </c>
      <c r="E464">
        <v>165.99870000000001</v>
      </c>
    </row>
    <row r="465" spans="1:5" x14ac:dyDescent="0.2">
      <c r="A465" t="str">
        <f t="shared" si="7"/>
        <v>Jane Phillips Medical Center|McIntosh County</v>
      </c>
      <c r="B465" t="s">
        <v>24</v>
      </c>
      <c r="C465" t="s">
        <v>4</v>
      </c>
      <c r="D465">
        <v>101.56666666666671</v>
      </c>
      <c r="E465">
        <v>109.7963</v>
      </c>
    </row>
    <row r="466" spans="1:5" x14ac:dyDescent="0.2">
      <c r="A466" t="str">
        <f t="shared" si="7"/>
        <v>Jane Phillips Medical Center|Carter County Health Department</v>
      </c>
      <c r="B466" t="s">
        <v>24</v>
      </c>
      <c r="C466" t="s">
        <v>3</v>
      </c>
      <c r="D466">
        <v>216.76666666666671</v>
      </c>
      <c r="E466">
        <v>248.06819999999999</v>
      </c>
    </row>
    <row r="467" spans="1:5" x14ac:dyDescent="0.2">
      <c r="A467" t="str">
        <f t="shared" si="7"/>
        <v>Jane Phillips Medical Center|Jackson County Altus</v>
      </c>
      <c r="B467" t="s">
        <v>24</v>
      </c>
      <c r="C467" t="s">
        <v>2</v>
      </c>
      <c r="D467">
        <v>248.5</v>
      </c>
      <c r="E467">
        <v>290.51530000000002</v>
      </c>
    </row>
    <row r="468" spans="1:5" x14ac:dyDescent="0.2">
      <c r="A468" t="str">
        <f t="shared" si="7"/>
        <v>Jane Phillips Medical Center|Alliance Health Woodward</v>
      </c>
      <c r="B468" t="s">
        <v>24</v>
      </c>
      <c r="C468" t="s">
        <v>0</v>
      </c>
      <c r="D468">
        <v>219.6</v>
      </c>
      <c r="E468">
        <v>246.1326</v>
      </c>
    </row>
    <row r="469" spans="1:5" x14ac:dyDescent="0.2">
      <c r="A469" t="str">
        <f t="shared" si="7"/>
        <v>Jane Phillips Medical Center|McAlester Regional Health</v>
      </c>
      <c r="B469" t="s">
        <v>24</v>
      </c>
      <c r="C469" t="s">
        <v>1</v>
      </c>
      <c r="D469">
        <v>127.15</v>
      </c>
      <c r="E469">
        <v>136.0728</v>
      </c>
    </row>
    <row r="470" spans="1:5" x14ac:dyDescent="0.2">
      <c r="A470" t="str">
        <f t="shared" si="7"/>
        <v>YWCA South|Oklahoma Mothers’ Milk Bank</v>
      </c>
      <c r="B470" t="s">
        <v>23</v>
      </c>
      <c r="C470" t="s">
        <v>36</v>
      </c>
      <c r="D470">
        <v>92.183333333333337</v>
      </c>
      <c r="E470">
        <v>106.5968</v>
      </c>
    </row>
    <row r="471" spans="1:5" x14ac:dyDescent="0.2">
      <c r="A471" t="str">
        <f t="shared" si="7"/>
        <v>YWCA South|Integris Southwest</v>
      </c>
      <c r="B471" t="s">
        <v>23</v>
      </c>
      <c r="C471" t="s">
        <v>35</v>
      </c>
      <c r="D471">
        <v>96.11666666666666</v>
      </c>
      <c r="E471">
        <v>111.53489999999999</v>
      </c>
    </row>
    <row r="472" spans="1:5" x14ac:dyDescent="0.2">
      <c r="A472" t="str">
        <f t="shared" si="7"/>
        <v>YWCA South|Integris Baptist</v>
      </c>
      <c r="B472" t="s">
        <v>23</v>
      </c>
      <c r="C472" t="s">
        <v>34</v>
      </c>
      <c r="D472">
        <v>92.566666666666663</v>
      </c>
      <c r="E472">
        <v>107.2946</v>
      </c>
    </row>
    <row r="473" spans="1:5" x14ac:dyDescent="0.2">
      <c r="A473" t="str">
        <f t="shared" si="7"/>
        <v>YWCA South|Cleveland County Moore</v>
      </c>
      <c r="B473" t="s">
        <v>23</v>
      </c>
      <c r="C473" t="s">
        <v>33</v>
      </c>
      <c r="D473">
        <v>102.76666666666669</v>
      </c>
      <c r="E473">
        <v>114.73560000000001</v>
      </c>
    </row>
    <row r="474" spans="1:5" x14ac:dyDescent="0.2">
      <c r="A474" t="str">
        <f t="shared" si="7"/>
        <v>YWCA South|Variety Care- Lafayette</v>
      </c>
      <c r="B474" t="s">
        <v>23</v>
      </c>
      <c r="C474" t="s">
        <v>32</v>
      </c>
      <c r="D474">
        <v>97.85</v>
      </c>
      <c r="E474">
        <v>111.67100000000001</v>
      </c>
    </row>
    <row r="475" spans="1:5" x14ac:dyDescent="0.2">
      <c r="A475" t="str">
        <f t="shared" si="7"/>
        <v>YWCA South|Edmond Hope Center</v>
      </c>
      <c r="B475" t="s">
        <v>23</v>
      </c>
      <c r="C475" t="s">
        <v>31</v>
      </c>
      <c r="D475">
        <v>88.783333333333331</v>
      </c>
      <c r="E475">
        <v>103.5639</v>
      </c>
    </row>
    <row r="476" spans="1:5" x14ac:dyDescent="0.2">
      <c r="A476" t="str">
        <f t="shared" si="7"/>
        <v>YWCA South|Canadian Valley</v>
      </c>
      <c r="B476" t="s">
        <v>23</v>
      </c>
      <c r="C476" t="s">
        <v>30</v>
      </c>
      <c r="D476">
        <v>104.98333333333331</v>
      </c>
      <c r="E476">
        <v>124.1854</v>
      </c>
    </row>
    <row r="477" spans="1:5" x14ac:dyDescent="0.2">
      <c r="A477" t="str">
        <f t="shared" si="7"/>
        <v>YWCA South|St. Anthony Shawnee Hospital</v>
      </c>
      <c r="B477" t="s">
        <v>23</v>
      </c>
      <c r="C477" t="s">
        <v>29</v>
      </c>
      <c r="D477">
        <v>86.783333333333331</v>
      </c>
      <c r="E477">
        <v>91.012900000000002</v>
      </c>
    </row>
    <row r="478" spans="1:5" x14ac:dyDescent="0.2">
      <c r="A478" t="str">
        <f t="shared" si="7"/>
        <v>YWCA South|OU Children’s Hospital</v>
      </c>
      <c r="B478" t="s">
        <v>23</v>
      </c>
      <c r="C478" t="s">
        <v>28</v>
      </c>
      <c r="D478">
        <v>93.63333333333334</v>
      </c>
      <c r="E478">
        <v>106.73909999999999</v>
      </c>
    </row>
    <row r="479" spans="1:5" x14ac:dyDescent="0.2">
      <c r="A479" t="str">
        <f t="shared" si="7"/>
        <v>YWCA South|OBI</v>
      </c>
      <c r="B479" t="s">
        <v>23</v>
      </c>
      <c r="C479" t="s">
        <v>27</v>
      </c>
      <c r="D479">
        <v>14.35</v>
      </c>
      <c r="E479">
        <v>7.9877000000000002</v>
      </c>
    </row>
    <row r="480" spans="1:5" x14ac:dyDescent="0.2">
      <c r="A480" t="str">
        <f t="shared" si="7"/>
        <v>YWCA South|Tulsa Hillcrest Hospital</v>
      </c>
      <c r="B480" t="s">
        <v>23</v>
      </c>
      <c r="C480" t="s">
        <v>26</v>
      </c>
      <c r="D480">
        <v>4.3833333333333337</v>
      </c>
      <c r="E480">
        <v>1.5571999999999999</v>
      </c>
    </row>
    <row r="481" spans="1:5" x14ac:dyDescent="0.2">
      <c r="A481" t="str">
        <f t="shared" si="7"/>
        <v>YWCA South|St. John Owasso</v>
      </c>
      <c r="B481" t="s">
        <v>23</v>
      </c>
      <c r="C481" t="s">
        <v>25</v>
      </c>
      <c r="D481">
        <v>21.68333333333333</v>
      </c>
      <c r="E481">
        <v>17.554400000000001</v>
      </c>
    </row>
    <row r="482" spans="1:5" x14ac:dyDescent="0.2">
      <c r="A482" t="str">
        <f t="shared" si="7"/>
        <v>YWCA South|Jane Phillips Medical Center</v>
      </c>
      <c r="B482" t="s">
        <v>23</v>
      </c>
      <c r="C482" t="s">
        <v>24</v>
      </c>
      <c r="D482">
        <v>43.1</v>
      </c>
      <c r="E482">
        <v>45.104700000000001</v>
      </c>
    </row>
    <row r="483" spans="1:5" x14ac:dyDescent="0.2">
      <c r="A483" t="str">
        <f t="shared" si="7"/>
        <v>YWCA South|YWCA East</v>
      </c>
      <c r="B483" t="s">
        <v>23</v>
      </c>
      <c r="C483" t="s">
        <v>22</v>
      </c>
      <c r="D483">
        <v>9.7333333333333325</v>
      </c>
      <c r="E483">
        <v>4.7591000000000001</v>
      </c>
    </row>
    <row r="484" spans="1:5" x14ac:dyDescent="0.2">
      <c r="A484" t="str">
        <f t="shared" si="7"/>
        <v>YWCA South|KUMC - University of Kansas Health System</v>
      </c>
      <c r="B484" t="s">
        <v>23</v>
      </c>
      <c r="C484" t="s">
        <v>21</v>
      </c>
      <c r="D484">
        <v>226.68333333333331</v>
      </c>
      <c r="E484">
        <v>238.83269999999999</v>
      </c>
    </row>
    <row r="485" spans="1:5" x14ac:dyDescent="0.2">
      <c r="A485" t="str">
        <f t="shared" si="7"/>
        <v>YWCA South|KUMC - Kansas Health Systems – St. Francis Campus</v>
      </c>
      <c r="B485" t="s">
        <v>23</v>
      </c>
      <c r="C485" t="s">
        <v>20</v>
      </c>
      <c r="D485">
        <v>225.7</v>
      </c>
      <c r="E485">
        <v>226.96639999999999</v>
      </c>
    </row>
    <row r="486" spans="1:5" x14ac:dyDescent="0.2">
      <c r="A486" t="str">
        <f t="shared" si="7"/>
        <v>YWCA South|Shawnee Mission MC</v>
      </c>
      <c r="B486" t="s">
        <v>23</v>
      </c>
      <c r="C486" t="s">
        <v>19</v>
      </c>
      <c r="D486">
        <v>218.3</v>
      </c>
      <c r="E486">
        <v>230.3982</v>
      </c>
    </row>
    <row r="487" spans="1:5" x14ac:dyDescent="0.2">
      <c r="A487" t="str">
        <f t="shared" si="7"/>
        <v>YWCA South|Woven Leaf</v>
      </c>
      <c r="B487" t="s">
        <v>23</v>
      </c>
      <c r="C487" t="s">
        <v>18</v>
      </c>
      <c r="D487">
        <v>123.9</v>
      </c>
      <c r="E487">
        <v>123.3229</v>
      </c>
    </row>
    <row r="488" spans="1:5" x14ac:dyDescent="0.2">
      <c r="A488" t="str">
        <f t="shared" si="7"/>
        <v>YWCA South|Southeast KS Health Department</v>
      </c>
      <c r="B488" t="s">
        <v>23</v>
      </c>
      <c r="C488" t="s">
        <v>17</v>
      </c>
      <c r="D488">
        <v>139.2166666666667</v>
      </c>
      <c r="E488">
        <v>140.33850000000001</v>
      </c>
    </row>
    <row r="489" spans="1:5" x14ac:dyDescent="0.2">
      <c r="A489" t="str">
        <f t="shared" si="7"/>
        <v>YWCA South|Salina Regional</v>
      </c>
      <c r="B489" t="s">
        <v>23</v>
      </c>
      <c r="C489" t="s">
        <v>16</v>
      </c>
      <c r="D489">
        <v>223.06666666666669</v>
      </c>
      <c r="E489">
        <v>266.37810000000002</v>
      </c>
    </row>
    <row r="490" spans="1:5" x14ac:dyDescent="0.2">
      <c r="A490" t="str">
        <f t="shared" si="7"/>
        <v>YWCA South|Kansas Birth Justice Society</v>
      </c>
      <c r="B490" t="s">
        <v>23</v>
      </c>
      <c r="C490" t="s">
        <v>15</v>
      </c>
      <c r="D490">
        <v>150.56666666666669</v>
      </c>
      <c r="E490">
        <v>179.17740000000001</v>
      </c>
    </row>
    <row r="491" spans="1:5" x14ac:dyDescent="0.2">
      <c r="A491" t="str">
        <f t="shared" si="7"/>
        <v>YWCA South|Flint Hills- Riley County Health Department</v>
      </c>
      <c r="B491" t="s">
        <v>23</v>
      </c>
      <c r="C491" t="s">
        <v>14</v>
      </c>
      <c r="D491">
        <v>262.13333333333333</v>
      </c>
      <c r="E491">
        <v>258.62709999999998</v>
      </c>
    </row>
    <row r="492" spans="1:5" x14ac:dyDescent="0.2">
      <c r="A492" t="str">
        <f t="shared" si="7"/>
        <v>YWCA South|Washington Regional Medical Center</v>
      </c>
      <c r="B492" t="s">
        <v>23</v>
      </c>
      <c r="C492" t="s">
        <v>13</v>
      </c>
      <c r="D492">
        <v>106.23333333333331</v>
      </c>
      <c r="E492">
        <v>110.7942</v>
      </c>
    </row>
    <row r="493" spans="1:5" x14ac:dyDescent="0.2">
      <c r="A493" t="str">
        <f t="shared" si="7"/>
        <v>YWCA South|South Central Medical Center</v>
      </c>
      <c r="B493" t="s">
        <v>23</v>
      </c>
      <c r="C493" t="s">
        <v>12</v>
      </c>
      <c r="D493">
        <v>145.18333333333331</v>
      </c>
      <c r="E493">
        <v>159.3656</v>
      </c>
    </row>
    <row r="494" spans="1:5" x14ac:dyDescent="0.2">
      <c r="A494" t="str">
        <f t="shared" si="7"/>
        <v>YWCA South|Andrew County</v>
      </c>
      <c r="B494" t="s">
        <v>23</v>
      </c>
      <c r="C494" t="s">
        <v>11</v>
      </c>
      <c r="D494">
        <v>277.21666666666658</v>
      </c>
      <c r="E494">
        <v>300.03899999999999</v>
      </c>
    </row>
    <row r="495" spans="1:5" x14ac:dyDescent="0.2">
      <c r="A495" t="str">
        <f t="shared" si="7"/>
        <v>YWCA South|Comanche County Memorial Hospital</v>
      </c>
      <c r="B495" t="s">
        <v>23</v>
      </c>
      <c r="C495" t="s">
        <v>10</v>
      </c>
      <c r="D495">
        <v>165.15</v>
      </c>
      <c r="E495">
        <v>195.93510000000001</v>
      </c>
    </row>
    <row r="496" spans="1:5" x14ac:dyDescent="0.2">
      <c r="A496" t="str">
        <f t="shared" si="7"/>
        <v>YWCA South|Garfield County Health Department</v>
      </c>
      <c r="B496" t="s">
        <v>23</v>
      </c>
      <c r="C496" t="s">
        <v>9</v>
      </c>
      <c r="D496">
        <v>105.43333333333329</v>
      </c>
      <c r="E496">
        <v>120.6572</v>
      </c>
    </row>
    <row r="497" spans="1:5" x14ac:dyDescent="0.2">
      <c r="A497" t="str">
        <f t="shared" si="7"/>
        <v>YWCA South|Grady County</v>
      </c>
      <c r="B497" t="s">
        <v>23</v>
      </c>
      <c r="C497" t="s">
        <v>8</v>
      </c>
      <c r="D497">
        <v>130.4</v>
      </c>
      <c r="E497">
        <v>151.68039999999999</v>
      </c>
    </row>
    <row r="498" spans="1:5" x14ac:dyDescent="0.2">
      <c r="A498" t="str">
        <f t="shared" si="7"/>
        <v>YWCA South|Beckham County</v>
      </c>
      <c r="B498" t="s">
        <v>23</v>
      </c>
      <c r="C498" t="s">
        <v>7</v>
      </c>
      <c r="D498">
        <v>182.4</v>
      </c>
      <c r="E498">
        <v>220.41470000000001</v>
      </c>
    </row>
    <row r="499" spans="1:5" x14ac:dyDescent="0.2">
      <c r="A499" t="str">
        <f t="shared" si="7"/>
        <v>YWCA South|Custer County</v>
      </c>
      <c r="B499" t="s">
        <v>23</v>
      </c>
      <c r="C499" t="s">
        <v>6</v>
      </c>
      <c r="D499">
        <v>163.30000000000001</v>
      </c>
      <c r="E499">
        <v>194.84270000000001</v>
      </c>
    </row>
    <row r="500" spans="1:5" x14ac:dyDescent="0.2">
      <c r="A500" t="str">
        <f t="shared" si="7"/>
        <v>YWCA South|Pontotoc County</v>
      </c>
      <c r="B500" t="s">
        <v>23</v>
      </c>
      <c r="C500" t="s">
        <v>5</v>
      </c>
      <c r="D500">
        <v>119.7833333333333</v>
      </c>
      <c r="E500">
        <v>123.05880000000001</v>
      </c>
    </row>
    <row r="501" spans="1:5" x14ac:dyDescent="0.2">
      <c r="A501" t="str">
        <f t="shared" si="7"/>
        <v>YWCA South|McIntosh County</v>
      </c>
      <c r="B501" t="s">
        <v>23</v>
      </c>
      <c r="C501" t="s">
        <v>4</v>
      </c>
      <c r="D501">
        <v>62.466666666666669</v>
      </c>
      <c r="E501">
        <v>66.339500000000001</v>
      </c>
    </row>
    <row r="502" spans="1:5" x14ac:dyDescent="0.2">
      <c r="A502" t="str">
        <f t="shared" si="7"/>
        <v>YWCA South|Carter County Health Department</v>
      </c>
      <c r="B502" t="s">
        <v>23</v>
      </c>
      <c r="C502" t="s">
        <v>3</v>
      </c>
      <c r="D502">
        <v>179.6</v>
      </c>
      <c r="E502">
        <v>205.1283</v>
      </c>
    </row>
    <row r="503" spans="1:5" x14ac:dyDescent="0.2">
      <c r="A503" t="str">
        <f t="shared" si="7"/>
        <v>YWCA South|Jackson County Altus</v>
      </c>
      <c r="B503" t="s">
        <v>23</v>
      </c>
      <c r="C503" t="s">
        <v>2</v>
      </c>
      <c r="D503">
        <v>211.33333333333329</v>
      </c>
      <c r="E503">
        <v>247.5754</v>
      </c>
    </row>
    <row r="504" spans="1:5" x14ac:dyDescent="0.2">
      <c r="A504" t="str">
        <f t="shared" si="7"/>
        <v>YWCA South|Alliance Health Woodward</v>
      </c>
      <c r="B504" t="s">
        <v>23</v>
      </c>
      <c r="C504" t="s">
        <v>0</v>
      </c>
      <c r="D504">
        <v>185.31666666666669</v>
      </c>
      <c r="E504">
        <v>206.7824</v>
      </c>
    </row>
    <row r="505" spans="1:5" x14ac:dyDescent="0.2">
      <c r="A505" t="str">
        <f t="shared" si="7"/>
        <v>YWCA South|McAlester Regional Health</v>
      </c>
      <c r="B505" t="s">
        <v>23</v>
      </c>
      <c r="C505" t="s">
        <v>1</v>
      </c>
      <c r="D505">
        <v>97.05</v>
      </c>
      <c r="E505">
        <v>97.375699999999995</v>
      </c>
    </row>
    <row r="506" spans="1:5" x14ac:dyDescent="0.2">
      <c r="A506" t="str">
        <f t="shared" si="7"/>
        <v>YWCA East|Oklahoma Mothers’ Milk Bank</v>
      </c>
      <c r="B506" t="s">
        <v>22</v>
      </c>
      <c r="C506" t="s">
        <v>36</v>
      </c>
      <c r="D506">
        <v>95.166666666666671</v>
      </c>
      <c r="E506">
        <v>109.6173</v>
      </c>
    </row>
    <row r="507" spans="1:5" x14ac:dyDescent="0.2">
      <c r="A507" t="str">
        <f t="shared" si="7"/>
        <v>YWCA East|Integris Southwest</v>
      </c>
      <c r="B507" t="s">
        <v>22</v>
      </c>
      <c r="C507" t="s">
        <v>35</v>
      </c>
      <c r="D507">
        <v>99.1</v>
      </c>
      <c r="E507">
        <v>114.55540000000001</v>
      </c>
    </row>
    <row r="508" spans="1:5" x14ac:dyDescent="0.2">
      <c r="A508" t="str">
        <f t="shared" si="7"/>
        <v>YWCA East|Integris Baptist</v>
      </c>
      <c r="B508" t="s">
        <v>22</v>
      </c>
      <c r="C508" t="s">
        <v>34</v>
      </c>
      <c r="D508">
        <v>95.55</v>
      </c>
      <c r="E508">
        <v>110.3151</v>
      </c>
    </row>
    <row r="509" spans="1:5" x14ac:dyDescent="0.2">
      <c r="A509" t="str">
        <f t="shared" si="7"/>
        <v>YWCA East|Cleveland County Moore</v>
      </c>
      <c r="B509" t="s">
        <v>22</v>
      </c>
      <c r="C509" t="s">
        <v>33</v>
      </c>
      <c r="D509">
        <v>105.75</v>
      </c>
      <c r="E509">
        <v>117.7561</v>
      </c>
    </row>
    <row r="510" spans="1:5" x14ac:dyDescent="0.2">
      <c r="A510" t="str">
        <f t="shared" si="7"/>
        <v>YWCA East|Variety Care- Lafayette</v>
      </c>
      <c r="B510" t="s">
        <v>22</v>
      </c>
      <c r="C510" t="s">
        <v>32</v>
      </c>
      <c r="D510">
        <v>100.8333333333333</v>
      </c>
      <c r="E510">
        <v>114.6915</v>
      </c>
    </row>
    <row r="511" spans="1:5" x14ac:dyDescent="0.2">
      <c r="A511" t="str">
        <f t="shared" si="7"/>
        <v>YWCA East|Edmond Hope Center</v>
      </c>
      <c r="B511" t="s">
        <v>22</v>
      </c>
      <c r="C511" t="s">
        <v>31</v>
      </c>
      <c r="D511">
        <v>91.766666666666666</v>
      </c>
      <c r="E511">
        <v>106.5844</v>
      </c>
    </row>
    <row r="512" spans="1:5" x14ac:dyDescent="0.2">
      <c r="A512" t="str">
        <f t="shared" si="7"/>
        <v>YWCA East|Canadian Valley</v>
      </c>
      <c r="B512" t="s">
        <v>22</v>
      </c>
      <c r="C512" t="s">
        <v>30</v>
      </c>
      <c r="D512">
        <v>107.9666666666667</v>
      </c>
      <c r="E512">
        <v>127.2059</v>
      </c>
    </row>
    <row r="513" spans="1:5" x14ac:dyDescent="0.2">
      <c r="A513" t="str">
        <f t="shared" si="7"/>
        <v>YWCA East|St. Anthony Shawnee Hospital</v>
      </c>
      <c r="B513" t="s">
        <v>22</v>
      </c>
      <c r="C513" t="s">
        <v>29</v>
      </c>
      <c r="D513">
        <v>89.766666666666666</v>
      </c>
      <c r="E513">
        <v>94.033299999999997</v>
      </c>
    </row>
    <row r="514" spans="1:5" x14ac:dyDescent="0.2">
      <c r="A514" t="str">
        <f t="shared" ref="A514:A577" si="8">CONCATENATE(B514,"|",C514)</f>
        <v>YWCA East|OU Children’s Hospital</v>
      </c>
      <c r="B514" t="s">
        <v>22</v>
      </c>
      <c r="C514" t="s">
        <v>28</v>
      </c>
      <c r="D514">
        <v>96.61666666666666</v>
      </c>
      <c r="E514">
        <v>109.75960000000001</v>
      </c>
    </row>
    <row r="515" spans="1:5" x14ac:dyDescent="0.2">
      <c r="A515" t="str">
        <f t="shared" si="8"/>
        <v>YWCA East|OBI</v>
      </c>
      <c r="B515" t="s">
        <v>22</v>
      </c>
      <c r="C515" t="s">
        <v>27</v>
      </c>
      <c r="D515">
        <v>13.83333333333333</v>
      </c>
      <c r="E515">
        <v>7.6199000000000003</v>
      </c>
    </row>
    <row r="516" spans="1:5" x14ac:dyDescent="0.2">
      <c r="A516" t="str">
        <f t="shared" si="8"/>
        <v>YWCA East|Tulsa Hillcrest Hospital</v>
      </c>
      <c r="B516" t="s">
        <v>22</v>
      </c>
      <c r="C516" t="s">
        <v>26</v>
      </c>
      <c r="D516">
        <v>11.53333333333333</v>
      </c>
      <c r="E516">
        <v>5.4084000000000003</v>
      </c>
    </row>
    <row r="517" spans="1:5" x14ac:dyDescent="0.2">
      <c r="A517" t="str">
        <f t="shared" si="8"/>
        <v>YWCA East|St. John Owasso</v>
      </c>
      <c r="B517" t="s">
        <v>22</v>
      </c>
      <c r="C517" t="s">
        <v>25</v>
      </c>
      <c r="D517">
        <v>17.283333333333331</v>
      </c>
      <c r="E517">
        <v>13.641</v>
      </c>
    </row>
    <row r="518" spans="1:5" x14ac:dyDescent="0.2">
      <c r="A518" t="str">
        <f t="shared" si="8"/>
        <v>YWCA East|Jane Phillips Medical Center</v>
      </c>
      <c r="B518" t="s">
        <v>22</v>
      </c>
      <c r="C518" t="s">
        <v>24</v>
      </c>
      <c r="D518">
        <v>45.95</v>
      </c>
      <c r="E518">
        <v>45.824300000000001</v>
      </c>
    </row>
    <row r="519" spans="1:5" x14ac:dyDescent="0.2">
      <c r="A519" t="str">
        <f t="shared" si="8"/>
        <v>YWCA East|YWCA South</v>
      </c>
      <c r="B519" t="s">
        <v>22</v>
      </c>
      <c r="C519" t="s">
        <v>23</v>
      </c>
      <c r="D519">
        <v>9.6</v>
      </c>
      <c r="E519">
        <v>4.7584999999999997</v>
      </c>
    </row>
    <row r="520" spans="1:5" x14ac:dyDescent="0.2">
      <c r="A520" t="str">
        <f t="shared" si="8"/>
        <v>YWCA East|KUMC - University of Kansas Health System</v>
      </c>
      <c r="B520" t="s">
        <v>22</v>
      </c>
      <c r="C520" t="s">
        <v>21</v>
      </c>
      <c r="D520">
        <v>222.2833333333333</v>
      </c>
      <c r="E520">
        <v>234.91929999999999</v>
      </c>
    </row>
    <row r="521" spans="1:5" x14ac:dyDescent="0.2">
      <c r="A521" t="str">
        <f t="shared" si="8"/>
        <v>YWCA East|KUMC - Kansas Health Systems – St. Francis Campus</v>
      </c>
      <c r="B521" t="s">
        <v>22</v>
      </c>
      <c r="C521" t="s">
        <v>20</v>
      </c>
      <c r="D521">
        <v>223.05</v>
      </c>
      <c r="E521">
        <v>226.53210000000001</v>
      </c>
    </row>
    <row r="522" spans="1:5" x14ac:dyDescent="0.2">
      <c r="A522" t="str">
        <f t="shared" si="8"/>
        <v>YWCA East|Shawnee Mission MC</v>
      </c>
      <c r="B522" t="s">
        <v>22</v>
      </c>
      <c r="C522" t="s">
        <v>19</v>
      </c>
      <c r="D522">
        <v>213.9</v>
      </c>
      <c r="E522">
        <v>226.48480000000001</v>
      </c>
    </row>
    <row r="523" spans="1:5" x14ac:dyDescent="0.2">
      <c r="A523" t="str">
        <f t="shared" si="8"/>
        <v>YWCA East|Woven Leaf</v>
      </c>
      <c r="B523" t="s">
        <v>22</v>
      </c>
      <c r="C523" t="s">
        <v>18</v>
      </c>
      <c r="D523">
        <v>119.5</v>
      </c>
      <c r="E523">
        <v>119.40949999999999</v>
      </c>
    </row>
    <row r="524" spans="1:5" x14ac:dyDescent="0.2">
      <c r="A524" t="str">
        <f t="shared" si="8"/>
        <v>YWCA East|Southeast KS Health Department</v>
      </c>
      <c r="B524" t="s">
        <v>22</v>
      </c>
      <c r="C524" t="s">
        <v>17</v>
      </c>
      <c r="D524">
        <v>134.81666666666669</v>
      </c>
      <c r="E524">
        <v>136.42519999999999</v>
      </c>
    </row>
    <row r="525" spans="1:5" x14ac:dyDescent="0.2">
      <c r="A525" t="str">
        <f t="shared" si="8"/>
        <v>YWCA East|Salina Regional</v>
      </c>
      <c r="B525" t="s">
        <v>22</v>
      </c>
      <c r="C525" t="s">
        <v>16</v>
      </c>
      <c r="D525">
        <v>227.9</v>
      </c>
      <c r="E525">
        <v>270.8408</v>
      </c>
    </row>
    <row r="526" spans="1:5" x14ac:dyDescent="0.2">
      <c r="A526" t="str">
        <f t="shared" si="8"/>
        <v>YWCA East|Kansas Birth Justice Society</v>
      </c>
      <c r="B526" t="s">
        <v>22</v>
      </c>
      <c r="C526" t="s">
        <v>15</v>
      </c>
      <c r="D526">
        <v>155.4</v>
      </c>
      <c r="E526">
        <v>183.64</v>
      </c>
    </row>
    <row r="527" spans="1:5" x14ac:dyDescent="0.2">
      <c r="A527" t="str">
        <f t="shared" si="8"/>
        <v>YWCA East|Flint Hills- Riley County Health Department</v>
      </c>
      <c r="B527" t="s">
        <v>22</v>
      </c>
      <c r="C527" t="s">
        <v>14</v>
      </c>
      <c r="D527">
        <v>264.98333333333329</v>
      </c>
      <c r="E527">
        <v>259.3467</v>
      </c>
    </row>
    <row r="528" spans="1:5" x14ac:dyDescent="0.2">
      <c r="A528" t="str">
        <f t="shared" si="8"/>
        <v>YWCA East|Washington Regional Medical Center</v>
      </c>
      <c r="B528" t="s">
        <v>22</v>
      </c>
      <c r="C528" t="s">
        <v>13</v>
      </c>
      <c r="D528">
        <v>103.4166666666667</v>
      </c>
      <c r="E528">
        <v>107.0244</v>
      </c>
    </row>
    <row r="529" spans="1:5" x14ac:dyDescent="0.2">
      <c r="A529" t="str">
        <f t="shared" si="8"/>
        <v>YWCA East|South Central Medical Center</v>
      </c>
      <c r="B529" t="s">
        <v>22</v>
      </c>
      <c r="C529" t="s">
        <v>12</v>
      </c>
      <c r="D529">
        <v>148.16666666666671</v>
      </c>
      <c r="E529">
        <v>162.386</v>
      </c>
    </row>
    <row r="530" spans="1:5" x14ac:dyDescent="0.2">
      <c r="A530" t="str">
        <f t="shared" si="8"/>
        <v>YWCA East|Andrew County</v>
      </c>
      <c r="B530" t="s">
        <v>22</v>
      </c>
      <c r="C530" t="s">
        <v>11</v>
      </c>
      <c r="D530">
        <v>272.81666666666672</v>
      </c>
      <c r="E530">
        <v>296.12560000000002</v>
      </c>
    </row>
    <row r="531" spans="1:5" x14ac:dyDescent="0.2">
      <c r="A531" t="str">
        <f t="shared" si="8"/>
        <v>YWCA East|Comanche County Memorial Hospital</v>
      </c>
      <c r="B531" t="s">
        <v>22</v>
      </c>
      <c r="C531" t="s">
        <v>10</v>
      </c>
      <c r="D531">
        <v>168.1333333333333</v>
      </c>
      <c r="E531">
        <v>198.9556</v>
      </c>
    </row>
    <row r="532" spans="1:5" x14ac:dyDescent="0.2">
      <c r="A532" t="str">
        <f t="shared" si="8"/>
        <v>YWCA East|Garfield County Health Department</v>
      </c>
      <c r="B532" t="s">
        <v>22</v>
      </c>
      <c r="C532" t="s">
        <v>9</v>
      </c>
      <c r="D532">
        <v>110.26666666666669</v>
      </c>
      <c r="E532">
        <v>125.1199</v>
      </c>
    </row>
    <row r="533" spans="1:5" x14ac:dyDescent="0.2">
      <c r="A533" t="str">
        <f t="shared" si="8"/>
        <v>YWCA East|Grady County</v>
      </c>
      <c r="B533" t="s">
        <v>22</v>
      </c>
      <c r="C533" t="s">
        <v>8</v>
      </c>
      <c r="D533">
        <v>133.3833333333333</v>
      </c>
      <c r="E533">
        <v>154.70089999999999</v>
      </c>
    </row>
    <row r="534" spans="1:5" x14ac:dyDescent="0.2">
      <c r="A534" t="str">
        <f t="shared" si="8"/>
        <v>YWCA East|Beckham County</v>
      </c>
      <c r="B534" t="s">
        <v>22</v>
      </c>
      <c r="C534" t="s">
        <v>7</v>
      </c>
      <c r="D534">
        <v>185.3833333333333</v>
      </c>
      <c r="E534">
        <v>223.43510000000001</v>
      </c>
    </row>
    <row r="535" spans="1:5" x14ac:dyDescent="0.2">
      <c r="A535" t="str">
        <f t="shared" si="8"/>
        <v>YWCA East|Custer County</v>
      </c>
      <c r="B535" t="s">
        <v>22</v>
      </c>
      <c r="C535" t="s">
        <v>6</v>
      </c>
      <c r="D535">
        <v>166.2833333333333</v>
      </c>
      <c r="E535">
        <v>197.86320000000001</v>
      </c>
    </row>
    <row r="536" spans="1:5" x14ac:dyDescent="0.2">
      <c r="A536" t="str">
        <f t="shared" si="8"/>
        <v>YWCA East|Pontotoc County</v>
      </c>
      <c r="B536" t="s">
        <v>22</v>
      </c>
      <c r="C536" t="s">
        <v>5</v>
      </c>
      <c r="D536">
        <v>122.76666666666669</v>
      </c>
      <c r="E536">
        <v>126.0793</v>
      </c>
    </row>
    <row r="537" spans="1:5" x14ac:dyDescent="0.2">
      <c r="A537" t="str">
        <f t="shared" si="8"/>
        <v>YWCA East|McIntosh County</v>
      </c>
      <c r="B537" t="s">
        <v>22</v>
      </c>
      <c r="C537" t="s">
        <v>4</v>
      </c>
      <c r="D537">
        <v>62</v>
      </c>
      <c r="E537">
        <v>63.719799999999999</v>
      </c>
    </row>
    <row r="538" spans="1:5" x14ac:dyDescent="0.2">
      <c r="A538" t="str">
        <f t="shared" si="8"/>
        <v>YWCA East|Carter County Health Department</v>
      </c>
      <c r="B538" t="s">
        <v>22</v>
      </c>
      <c r="C538" t="s">
        <v>3</v>
      </c>
      <c r="D538">
        <v>182.58333333333329</v>
      </c>
      <c r="E538">
        <v>208.14879999999999</v>
      </c>
    </row>
    <row r="539" spans="1:5" x14ac:dyDescent="0.2">
      <c r="A539" t="str">
        <f t="shared" si="8"/>
        <v>YWCA East|Jackson County Altus</v>
      </c>
      <c r="B539" t="s">
        <v>22</v>
      </c>
      <c r="C539" t="s">
        <v>2</v>
      </c>
      <c r="D539">
        <v>214.31666666666669</v>
      </c>
      <c r="E539">
        <v>250.5959</v>
      </c>
    </row>
    <row r="540" spans="1:5" x14ac:dyDescent="0.2">
      <c r="A540" t="str">
        <f t="shared" si="8"/>
        <v>YWCA East|Alliance Health Woodward</v>
      </c>
      <c r="B540" t="s">
        <v>22</v>
      </c>
      <c r="C540" t="s">
        <v>0</v>
      </c>
      <c r="D540">
        <v>190.15</v>
      </c>
      <c r="E540">
        <v>211.24510000000001</v>
      </c>
    </row>
    <row r="541" spans="1:5" x14ac:dyDescent="0.2">
      <c r="A541" t="str">
        <f t="shared" si="8"/>
        <v>YWCA East|McAlester Regional Health</v>
      </c>
      <c r="B541" t="s">
        <v>22</v>
      </c>
      <c r="C541" t="s">
        <v>1</v>
      </c>
      <c r="D541">
        <v>97.45</v>
      </c>
      <c r="E541">
        <v>105.44110000000001</v>
      </c>
    </row>
    <row r="542" spans="1:5" x14ac:dyDescent="0.2">
      <c r="A542" t="str">
        <f t="shared" si="8"/>
        <v>KUMC - University of Kansas Health System|Oklahoma Mothers’ Milk Bank</v>
      </c>
      <c r="B542" t="s">
        <v>21</v>
      </c>
      <c r="C542" t="s">
        <v>36</v>
      </c>
      <c r="D542">
        <v>283.45</v>
      </c>
      <c r="E542">
        <v>344.97410000000002</v>
      </c>
    </row>
    <row r="543" spans="1:5" x14ac:dyDescent="0.2">
      <c r="A543" t="str">
        <f t="shared" si="8"/>
        <v>KUMC - University of Kansas Health System|Integris Southwest</v>
      </c>
      <c r="B543" t="s">
        <v>21</v>
      </c>
      <c r="C543" t="s">
        <v>35</v>
      </c>
      <c r="D543">
        <v>287.38333333333333</v>
      </c>
      <c r="E543">
        <v>349.91210000000001</v>
      </c>
    </row>
    <row r="544" spans="1:5" x14ac:dyDescent="0.2">
      <c r="A544" t="str">
        <f t="shared" si="8"/>
        <v>KUMC - University of Kansas Health System|Integris Baptist</v>
      </c>
      <c r="B544" t="s">
        <v>21</v>
      </c>
      <c r="C544" t="s">
        <v>34</v>
      </c>
      <c r="D544">
        <v>283.83333333333331</v>
      </c>
      <c r="E544">
        <v>345.67189999999999</v>
      </c>
    </row>
    <row r="545" spans="1:5" x14ac:dyDescent="0.2">
      <c r="A545" t="str">
        <f t="shared" si="8"/>
        <v>KUMC - University of Kansas Health System|Cleveland County Moore</v>
      </c>
      <c r="B545" t="s">
        <v>21</v>
      </c>
      <c r="C545" t="s">
        <v>33</v>
      </c>
      <c r="D545">
        <v>291.93333333333328</v>
      </c>
      <c r="E545">
        <v>355.22179999999997</v>
      </c>
    </row>
    <row r="546" spans="1:5" x14ac:dyDescent="0.2">
      <c r="A546" t="str">
        <f t="shared" si="8"/>
        <v>KUMC - University of Kansas Health System|Variety Care- Lafayette</v>
      </c>
      <c r="B546" t="s">
        <v>21</v>
      </c>
      <c r="C546" t="s">
        <v>32</v>
      </c>
      <c r="D546">
        <v>287.7</v>
      </c>
      <c r="E546">
        <v>349.98919999999998</v>
      </c>
    </row>
    <row r="547" spans="1:5" x14ac:dyDescent="0.2">
      <c r="A547" t="str">
        <f t="shared" si="8"/>
        <v>KUMC - University of Kansas Health System|Edmond Hope Center</v>
      </c>
      <c r="B547" t="s">
        <v>21</v>
      </c>
      <c r="C547" t="s">
        <v>31</v>
      </c>
      <c r="D547">
        <v>273.08333333333331</v>
      </c>
      <c r="E547">
        <v>332.71940000000001</v>
      </c>
    </row>
    <row r="548" spans="1:5" x14ac:dyDescent="0.2">
      <c r="A548" t="str">
        <f t="shared" si="8"/>
        <v>KUMC - University of Kansas Health System|Canadian Valley</v>
      </c>
      <c r="B548" t="s">
        <v>21</v>
      </c>
      <c r="C548" t="s">
        <v>30</v>
      </c>
      <c r="D548">
        <v>296.31666666666672</v>
      </c>
      <c r="E548">
        <v>362.40789999999998</v>
      </c>
    </row>
    <row r="549" spans="1:5" x14ac:dyDescent="0.2">
      <c r="A549" t="str">
        <f t="shared" si="8"/>
        <v>KUMC - University of Kansas Health System|St. Anthony Shawnee Hospital</v>
      </c>
      <c r="B549" t="s">
        <v>21</v>
      </c>
      <c r="C549" t="s">
        <v>29</v>
      </c>
      <c r="D549">
        <v>306.88333333333333</v>
      </c>
      <c r="E549">
        <v>327.5838</v>
      </c>
    </row>
    <row r="550" spans="1:5" x14ac:dyDescent="0.2">
      <c r="A550" t="str">
        <f t="shared" si="8"/>
        <v>KUMC - University of Kansas Health System|OU Children’s Hospital</v>
      </c>
      <c r="B550" t="s">
        <v>21</v>
      </c>
      <c r="C550" t="s">
        <v>28</v>
      </c>
      <c r="D550">
        <v>284.58333333333331</v>
      </c>
      <c r="E550">
        <v>345.15120000000002</v>
      </c>
    </row>
    <row r="551" spans="1:5" x14ac:dyDescent="0.2">
      <c r="A551" t="str">
        <f t="shared" si="8"/>
        <v>KUMC - University of Kansas Health System|OBI</v>
      </c>
      <c r="B551" t="s">
        <v>21</v>
      </c>
      <c r="C551" t="s">
        <v>27</v>
      </c>
      <c r="D551">
        <v>230.95</v>
      </c>
      <c r="E551">
        <v>241.1703</v>
      </c>
    </row>
    <row r="552" spans="1:5" x14ac:dyDescent="0.2">
      <c r="A552" t="str">
        <f t="shared" si="8"/>
        <v>KUMC - University of Kansas Health System|Tulsa Hillcrest Hospital</v>
      </c>
      <c r="B552" t="s">
        <v>21</v>
      </c>
      <c r="C552" t="s">
        <v>26</v>
      </c>
      <c r="D552">
        <v>227.43333333333331</v>
      </c>
      <c r="E552">
        <v>238.2946</v>
      </c>
    </row>
    <row r="553" spans="1:5" x14ac:dyDescent="0.2">
      <c r="A553" t="str">
        <f t="shared" si="8"/>
        <v>KUMC - University of Kansas Health System|St. John Owasso</v>
      </c>
      <c r="B553" t="s">
        <v>21</v>
      </c>
      <c r="C553" t="s">
        <v>25</v>
      </c>
      <c r="D553">
        <v>212.01666666666671</v>
      </c>
      <c r="E553">
        <v>221.99600000000001</v>
      </c>
    </row>
    <row r="554" spans="1:5" x14ac:dyDescent="0.2">
      <c r="A554" t="str">
        <f t="shared" si="8"/>
        <v>KUMC - University of Kansas Health System|Jane Phillips Medical Center</v>
      </c>
      <c r="B554" t="s">
        <v>21</v>
      </c>
      <c r="C554" t="s">
        <v>24</v>
      </c>
      <c r="D554">
        <v>191.8</v>
      </c>
      <c r="E554">
        <v>199.4409</v>
      </c>
    </row>
    <row r="555" spans="1:5" x14ac:dyDescent="0.2">
      <c r="A555" t="str">
        <f t="shared" si="8"/>
        <v>KUMC - University of Kansas Health System|YWCA South</v>
      </c>
      <c r="B555" t="s">
        <v>21</v>
      </c>
      <c r="C555" t="s">
        <v>23</v>
      </c>
      <c r="D555">
        <v>227.06666666666669</v>
      </c>
      <c r="E555">
        <v>239.58150000000001</v>
      </c>
    </row>
    <row r="556" spans="1:5" x14ac:dyDescent="0.2">
      <c r="A556" t="str">
        <f t="shared" si="8"/>
        <v>KUMC - University of Kansas Health System|YWCA East</v>
      </c>
      <c r="B556" t="s">
        <v>21</v>
      </c>
      <c r="C556" t="s">
        <v>22</v>
      </c>
      <c r="D556">
        <v>223.85</v>
      </c>
      <c r="E556">
        <v>234.61109999999999</v>
      </c>
    </row>
    <row r="557" spans="1:5" x14ac:dyDescent="0.2">
      <c r="A557" t="str">
        <f t="shared" si="8"/>
        <v>KUMC - University of Kansas Health System|KUMC - Kansas Health Systems – St. Francis Campus</v>
      </c>
      <c r="B557" t="s">
        <v>21</v>
      </c>
      <c r="C557" t="s">
        <v>20</v>
      </c>
      <c r="D557">
        <v>60.983333333333327</v>
      </c>
      <c r="E557">
        <v>64.796000000000006</v>
      </c>
    </row>
    <row r="558" spans="1:5" x14ac:dyDescent="0.2">
      <c r="A558" t="str">
        <f t="shared" si="8"/>
        <v>KUMC - University of Kansas Health System|Shawnee Mission MC</v>
      </c>
      <c r="B558" t="s">
        <v>21</v>
      </c>
      <c r="C558" t="s">
        <v>19</v>
      </c>
      <c r="D558">
        <v>14.2</v>
      </c>
      <c r="E558">
        <v>9.1926000000000005</v>
      </c>
    </row>
    <row r="559" spans="1:5" x14ac:dyDescent="0.2">
      <c r="A559" t="str">
        <f t="shared" si="8"/>
        <v>KUMC - University of Kansas Health System|Woven Leaf</v>
      </c>
      <c r="B559" t="s">
        <v>21</v>
      </c>
      <c r="C559" t="s">
        <v>18</v>
      </c>
      <c r="D559">
        <v>113.7833333333333</v>
      </c>
      <c r="E559">
        <v>119.2281</v>
      </c>
    </row>
    <row r="560" spans="1:5" x14ac:dyDescent="0.2">
      <c r="A560" t="str">
        <f t="shared" si="8"/>
        <v>KUMC - University of Kansas Health System|Southeast KS Health Department</v>
      </c>
      <c r="B560" t="s">
        <v>21</v>
      </c>
      <c r="C560" t="s">
        <v>17</v>
      </c>
      <c r="D560">
        <v>97.61666666666666</v>
      </c>
      <c r="E560">
        <v>100.15819999999999</v>
      </c>
    </row>
    <row r="561" spans="1:5" x14ac:dyDescent="0.2">
      <c r="A561" t="str">
        <f t="shared" si="8"/>
        <v>KUMC - University of Kansas Health System|Salina Regional</v>
      </c>
      <c r="B561" t="s">
        <v>21</v>
      </c>
      <c r="C561" t="s">
        <v>16</v>
      </c>
      <c r="D561">
        <v>151.41666666666671</v>
      </c>
      <c r="E561">
        <v>176.64709999999999</v>
      </c>
    </row>
    <row r="562" spans="1:5" x14ac:dyDescent="0.2">
      <c r="A562" t="str">
        <f t="shared" si="8"/>
        <v>KUMC - University of Kansas Health System|Kansas Birth Justice Society</v>
      </c>
      <c r="B562" t="s">
        <v>21</v>
      </c>
      <c r="C562" t="s">
        <v>15</v>
      </c>
      <c r="D562">
        <v>162.41666666666671</v>
      </c>
      <c r="E562">
        <v>192.55170000000001</v>
      </c>
    </row>
    <row r="563" spans="1:5" x14ac:dyDescent="0.2">
      <c r="A563" t="str">
        <f t="shared" si="8"/>
        <v>KUMC - University of Kansas Health System|Flint Hills- Riley County Health Department</v>
      </c>
      <c r="B563" t="s">
        <v>21</v>
      </c>
      <c r="C563" t="s">
        <v>14</v>
      </c>
      <c r="D563">
        <v>110.9166666666667</v>
      </c>
      <c r="E563">
        <v>123.1545</v>
      </c>
    </row>
    <row r="564" spans="1:5" x14ac:dyDescent="0.2">
      <c r="A564" t="str">
        <f t="shared" si="8"/>
        <v>KUMC - University of Kansas Health System|Washington Regional Medical Center</v>
      </c>
      <c r="B564" t="s">
        <v>21</v>
      </c>
      <c r="C564" t="s">
        <v>13</v>
      </c>
      <c r="D564">
        <v>204.8833333333333</v>
      </c>
      <c r="E564">
        <v>234.96530000000001</v>
      </c>
    </row>
    <row r="565" spans="1:5" x14ac:dyDescent="0.2">
      <c r="A565" t="str">
        <f t="shared" si="8"/>
        <v>KUMC - University of Kansas Health System|South Central Medical Center</v>
      </c>
      <c r="B565" t="s">
        <v>21</v>
      </c>
      <c r="C565" t="s">
        <v>12</v>
      </c>
      <c r="D565">
        <v>333.35</v>
      </c>
      <c r="E565">
        <v>396.8965</v>
      </c>
    </row>
    <row r="566" spans="1:5" x14ac:dyDescent="0.2">
      <c r="A566" t="str">
        <f t="shared" si="8"/>
        <v>KUMC - University of Kansas Health System|Andrew County</v>
      </c>
      <c r="B566" t="s">
        <v>21</v>
      </c>
      <c r="C566" t="s">
        <v>11</v>
      </c>
      <c r="D566">
        <v>65.733333333333334</v>
      </c>
      <c r="E566">
        <v>68.448400000000007</v>
      </c>
    </row>
    <row r="567" spans="1:5" x14ac:dyDescent="0.2">
      <c r="A567" t="str">
        <f t="shared" si="8"/>
        <v>KUMC - University of Kansas Health System|Comanche County Memorial Hospital</v>
      </c>
      <c r="B567" t="s">
        <v>21</v>
      </c>
      <c r="C567" t="s">
        <v>10</v>
      </c>
      <c r="D567">
        <v>355.81666666666672</v>
      </c>
      <c r="E567">
        <v>433.80349999999999</v>
      </c>
    </row>
    <row r="568" spans="1:5" x14ac:dyDescent="0.2">
      <c r="A568" t="str">
        <f t="shared" si="8"/>
        <v>KUMC - University of Kansas Health System|Garfield County Health Department</v>
      </c>
      <c r="B568" t="s">
        <v>21</v>
      </c>
      <c r="C568" t="s">
        <v>9</v>
      </c>
      <c r="D568">
        <v>258.08333333333331</v>
      </c>
      <c r="E568">
        <v>310.3904</v>
      </c>
    </row>
    <row r="569" spans="1:5" x14ac:dyDescent="0.2">
      <c r="A569" t="str">
        <f t="shared" si="8"/>
        <v>KUMC - University of Kansas Health System|Grady County</v>
      </c>
      <c r="B569" t="s">
        <v>21</v>
      </c>
      <c r="C569" t="s">
        <v>8</v>
      </c>
      <c r="D569">
        <v>321.08333333333331</v>
      </c>
      <c r="E569">
        <v>389.55130000000003</v>
      </c>
    </row>
    <row r="570" spans="1:5" x14ac:dyDescent="0.2">
      <c r="A570" t="str">
        <f t="shared" si="8"/>
        <v>KUMC - University of Kansas Health System|Beckham County</v>
      </c>
      <c r="B570" t="s">
        <v>21</v>
      </c>
      <c r="C570" t="s">
        <v>7</v>
      </c>
      <c r="D570">
        <v>373.73333333333329</v>
      </c>
      <c r="E570">
        <v>458.63720000000001</v>
      </c>
    </row>
    <row r="571" spans="1:5" x14ac:dyDescent="0.2">
      <c r="A571" t="str">
        <f t="shared" si="8"/>
        <v>KUMC - University of Kansas Health System|Custer County</v>
      </c>
      <c r="B571" t="s">
        <v>21</v>
      </c>
      <c r="C571" t="s">
        <v>6</v>
      </c>
      <c r="D571">
        <v>354.63333333333333</v>
      </c>
      <c r="E571">
        <v>433.06529999999998</v>
      </c>
    </row>
    <row r="572" spans="1:5" x14ac:dyDescent="0.2">
      <c r="A572" t="str">
        <f t="shared" si="8"/>
        <v>KUMC - University of Kansas Health System|Pontotoc County</v>
      </c>
      <c r="B572" t="s">
        <v>21</v>
      </c>
      <c r="C572" t="s">
        <v>5</v>
      </c>
      <c r="D572">
        <v>339.88333333333333</v>
      </c>
      <c r="E572">
        <v>359.62979999999999</v>
      </c>
    </row>
    <row r="573" spans="1:5" x14ac:dyDescent="0.2">
      <c r="A573" t="str">
        <f t="shared" si="8"/>
        <v>KUMC - University of Kansas Health System|McIntosh County</v>
      </c>
      <c r="B573" t="s">
        <v>21</v>
      </c>
      <c r="C573" t="s">
        <v>4</v>
      </c>
      <c r="D573">
        <v>264.78333333333342</v>
      </c>
      <c r="E573">
        <v>274.98840000000001</v>
      </c>
    </row>
    <row r="574" spans="1:5" x14ac:dyDescent="0.2">
      <c r="A574" t="str">
        <f t="shared" si="8"/>
        <v>KUMC - University of Kansas Health System|Carter County Health Department</v>
      </c>
      <c r="B574" t="s">
        <v>21</v>
      </c>
      <c r="C574" t="s">
        <v>3</v>
      </c>
      <c r="D574">
        <v>364.43333333333328</v>
      </c>
      <c r="E574">
        <v>443.43040000000002</v>
      </c>
    </row>
    <row r="575" spans="1:5" x14ac:dyDescent="0.2">
      <c r="A575" t="str">
        <f t="shared" si="8"/>
        <v>KUMC - University of Kansas Health System|Jackson County Altus</v>
      </c>
      <c r="B575" t="s">
        <v>21</v>
      </c>
      <c r="C575" t="s">
        <v>2</v>
      </c>
      <c r="D575">
        <v>402</v>
      </c>
      <c r="E575">
        <v>485.44380000000001</v>
      </c>
    </row>
    <row r="576" spans="1:5" x14ac:dyDescent="0.2">
      <c r="A576" t="str">
        <f t="shared" si="8"/>
        <v>KUMC - University of Kansas Health System|Alliance Health Woodward</v>
      </c>
      <c r="B576" t="s">
        <v>21</v>
      </c>
      <c r="C576" t="s">
        <v>0</v>
      </c>
      <c r="D576">
        <v>335.28333333333342</v>
      </c>
      <c r="E576">
        <v>386.69299999999998</v>
      </c>
    </row>
    <row r="577" spans="1:5" x14ac:dyDescent="0.2">
      <c r="A577" t="str">
        <f t="shared" si="8"/>
        <v>KUMC - University of Kansas Health System|McAlester Regional Health</v>
      </c>
      <c r="B577" t="s">
        <v>21</v>
      </c>
      <c r="C577" t="s">
        <v>1</v>
      </c>
      <c r="D577">
        <v>300.23333333333329</v>
      </c>
      <c r="E577">
        <v>316.70979999999997</v>
      </c>
    </row>
    <row r="578" spans="1:5" x14ac:dyDescent="0.2">
      <c r="A578" t="str">
        <f t="shared" ref="A578:A641" si="9">CONCATENATE(B578,"|",C578)</f>
        <v>KUMC - Kansas Health Systems – St. Francis Campus|Oklahoma Mothers’ Milk Bank</v>
      </c>
      <c r="B578" t="s">
        <v>20</v>
      </c>
      <c r="C578" t="s">
        <v>36</v>
      </c>
      <c r="D578">
        <v>241.1166666666667</v>
      </c>
      <c r="E578">
        <v>291.97489999999999</v>
      </c>
    </row>
    <row r="579" spans="1:5" x14ac:dyDescent="0.2">
      <c r="A579" t="str">
        <f t="shared" si="9"/>
        <v>KUMC - Kansas Health Systems – St. Francis Campus|Integris Southwest</v>
      </c>
      <c r="B579" t="s">
        <v>20</v>
      </c>
      <c r="C579" t="s">
        <v>35</v>
      </c>
      <c r="D579">
        <v>245.05</v>
      </c>
      <c r="E579">
        <v>296.91289999999998</v>
      </c>
    </row>
    <row r="580" spans="1:5" x14ac:dyDescent="0.2">
      <c r="A580" t="str">
        <f t="shared" si="9"/>
        <v>KUMC - Kansas Health Systems – St. Francis Campus|Integris Baptist</v>
      </c>
      <c r="B580" t="s">
        <v>20</v>
      </c>
      <c r="C580" t="s">
        <v>34</v>
      </c>
      <c r="D580">
        <v>241.5</v>
      </c>
      <c r="E580">
        <v>292.67270000000002</v>
      </c>
    </row>
    <row r="581" spans="1:5" x14ac:dyDescent="0.2">
      <c r="A581" t="str">
        <f t="shared" si="9"/>
        <v>KUMC - Kansas Health Systems – St. Francis Campus|Cleveland County Moore</v>
      </c>
      <c r="B581" t="s">
        <v>20</v>
      </c>
      <c r="C581" t="s">
        <v>33</v>
      </c>
      <c r="D581">
        <v>249.6</v>
      </c>
      <c r="E581">
        <v>302.22250000000003</v>
      </c>
    </row>
    <row r="582" spans="1:5" x14ac:dyDescent="0.2">
      <c r="A582" t="str">
        <f t="shared" si="9"/>
        <v>KUMC - Kansas Health Systems – St. Francis Campus|Variety Care- Lafayette</v>
      </c>
      <c r="B582" t="s">
        <v>20</v>
      </c>
      <c r="C582" t="s">
        <v>32</v>
      </c>
      <c r="D582">
        <v>245.3666666666667</v>
      </c>
      <c r="E582">
        <v>296.99</v>
      </c>
    </row>
    <row r="583" spans="1:5" x14ac:dyDescent="0.2">
      <c r="A583" t="str">
        <f t="shared" si="9"/>
        <v>KUMC - Kansas Health Systems – St. Francis Campus|Edmond Hope Center</v>
      </c>
      <c r="B583" t="s">
        <v>20</v>
      </c>
      <c r="C583" t="s">
        <v>31</v>
      </c>
      <c r="D583">
        <v>230.75</v>
      </c>
      <c r="E583">
        <v>279.72019999999998</v>
      </c>
    </row>
    <row r="584" spans="1:5" x14ac:dyDescent="0.2">
      <c r="A584" t="str">
        <f t="shared" si="9"/>
        <v>KUMC - Kansas Health Systems – St. Francis Campus|Canadian Valley</v>
      </c>
      <c r="B584" t="s">
        <v>20</v>
      </c>
      <c r="C584" t="s">
        <v>30</v>
      </c>
      <c r="D584">
        <v>253.98333333333329</v>
      </c>
      <c r="E584">
        <v>309.40870000000001</v>
      </c>
    </row>
    <row r="585" spans="1:5" x14ac:dyDescent="0.2">
      <c r="A585" t="str">
        <f t="shared" si="9"/>
        <v>KUMC - Kansas Health Systems – St. Francis Campus|St. Anthony Shawnee Hospital</v>
      </c>
      <c r="B585" t="s">
        <v>20</v>
      </c>
      <c r="C585" t="s">
        <v>29</v>
      </c>
      <c r="D585">
        <v>269.21666666666658</v>
      </c>
      <c r="E585">
        <v>324.55270000000002</v>
      </c>
    </row>
    <row r="586" spans="1:5" x14ac:dyDescent="0.2">
      <c r="A586" t="str">
        <f t="shared" si="9"/>
        <v>KUMC - Kansas Health Systems – St. Francis Campus|OU Children’s Hospital</v>
      </c>
      <c r="B586" t="s">
        <v>20</v>
      </c>
      <c r="C586" t="s">
        <v>28</v>
      </c>
      <c r="D586">
        <v>242.25</v>
      </c>
      <c r="E586">
        <v>292.15199999999999</v>
      </c>
    </row>
    <row r="587" spans="1:5" x14ac:dyDescent="0.2">
      <c r="A587" t="str">
        <f t="shared" si="9"/>
        <v>KUMC - Kansas Health Systems – St. Francis Campus|OBI</v>
      </c>
      <c r="B587" t="s">
        <v>20</v>
      </c>
      <c r="C587" t="s">
        <v>27</v>
      </c>
      <c r="D587">
        <v>229.91666666666671</v>
      </c>
      <c r="E587">
        <v>233.3622</v>
      </c>
    </row>
    <row r="588" spans="1:5" x14ac:dyDescent="0.2">
      <c r="A588" t="str">
        <f t="shared" si="9"/>
        <v>KUMC - Kansas Health Systems – St. Francis Campus|Tulsa Hillcrest Hospital</v>
      </c>
      <c r="B588" t="s">
        <v>20</v>
      </c>
      <c r="C588" t="s">
        <v>26</v>
      </c>
      <c r="D588">
        <v>224.6</v>
      </c>
      <c r="E588">
        <v>219.06319999999999</v>
      </c>
    </row>
    <row r="589" spans="1:5" x14ac:dyDescent="0.2">
      <c r="A589" t="str">
        <f t="shared" si="9"/>
        <v>KUMC - Kansas Health Systems – St. Francis Campus|St. John Owasso</v>
      </c>
      <c r="B589" t="s">
        <v>20</v>
      </c>
      <c r="C589" t="s">
        <v>25</v>
      </c>
      <c r="D589">
        <v>210.98333333333329</v>
      </c>
      <c r="E589">
        <v>214.18790000000001</v>
      </c>
    </row>
    <row r="590" spans="1:5" x14ac:dyDescent="0.2">
      <c r="A590" t="str">
        <f t="shared" si="9"/>
        <v>KUMC - Kansas Health Systems – St. Francis Campus|Jane Phillips Medical Center</v>
      </c>
      <c r="B590" t="s">
        <v>20</v>
      </c>
      <c r="C590" t="s">
        <v>24</v>
      </c>
      <c r="D590">
        <v>182.1</v>
      </c>
      <c r="E590">
        <v>175.2167</v>
      </c>
    </row>
    <row r="591" spans="1:5" x14ac:dyDescent="0.2">
      <c r="A591" t="str">
        <f t="shared" si="9"/>
        <v>KUMC - Kansas Health Systems – St. Francis Campus|YWCA South</v>
      </c>
      <c r="B591" t="s">
        <v>20</v>
      </c>
      <c r="C591" t="s">
        <v>23</v>
      </c>
      <c r="D591">
        <v>223.85</v>
      </c>
      <c r="E591">
        <v>220.04560000000001</v>
      </c>
    </row>
    <row r="592" spans="1:5" x14ac:dyDescent="0.2">
      <c r="A592" t="str">
        <f t="shared" si="9"/>
        <v>KUMC - Kansas Health Systems – St. Francis Campus|YWCA East</v>
      </c>
      <c r="B592" t="s">
        <v>20</v>
      </c>
      <c r="C592" t="s">
        <v>22</v>
      </c>
      <c r="D592">
        <v>222.81666666666669</v>
      </c>
      <c r="E592">
        <v>226.803</v>
      </c>
    </row>
    <row r="593" spans="1:5" x14ac:dyDescent="0.2">
      <c r="A593" t="str">
        <f t="shared" si="9"/>
        <v>KUMC - Kansas Health Systems – St. Francis Campus|KUMC - University of Kansas Health System</v>
      </c>
      <c r="B593" t="s">
        <v>20</v>
      </c>
      <c r="C593" t="s">
        <v>21</v>
      </c>
      <c r="D593">
        <v>59.283333333333331</v>
      </c>
      <c r="E593">
        <v>64.259100000000004</v>
      </c>
    </row>
    <row r="594" spans="1:5" x14ac:dyDescent="0.2">
      <c r="A594" t="str">
        <f t="shared" si="9"/>
        <v>KUMC - Kansas Health Systems – St. Francis Campus|Shawnee Mission MC</v>
      </c>
      <c r="B594" t="s">
        <v>20</v>
      </c>
      <c r="C594" t="s">
        <v>19</v>
      </c>
      <c r="D594">
        <v>58.81666666666667</v>
      </c>
      <c r="E594">
        <v>63.063600000000001</v>
      </c>
    </row>
    <row r="595" spans="1:5" x14ac:dyDescent="0.2">
      <c r="A595" t="str">
        <f t="shared" si="9"/>
        <v>KUMC - Kansas Health Systems – St. Francis Campus|Woven Leaf</v>
      </c>
      <c r="B595" t="s">
        <v>20</v>
      </c>
      <c r="C595" t="s">
        <v>18</v>
      </c>
      <c r="D595">
        <v>111.95</v>
      </c>
      <c r="E595">
        <v>111.4106</v>
      </c>
    </row>
    <row r="596" spans="1:5" x14ac:dyDescent="0.2">
      <c r="A596" t="str">
        <f t="shared" si="9"/>
        <v>KUMC - Kansas Health Systems – St. Francis Campus|Southeast KS Health Department</v>
      </c>
      <c r="B596" t="s">
        <v>20</v>
      </c>
      <c r="C596" t="s">
        <v>17</v>
      </c>
      <c r="D596">
        <v>101.8333333333333</v>
      </c>
      <c r="E596">
        <v>104.4258</v>
      </c>
    </row>
    <row r="597" spans="1:5" x14ac:dyDescent="0.2">
      <c r="A597" t="str">
        <f t="shared" si="9"/>
        <v>KUMC - Kansas Health Systems – St. Francis Campus|Salina Regional</v>
      </c>
      <c r="B597" t="s">
        <v>20</v>
      </c>
      <c r="C597" t="s">
        <v>16</v>
      </c>
      <c r="D597">
        <v>96.13333333333334</v>
      </c>
      <c r="E597">
        <v>112.3539</v>
      </c>
    </row>
    <row r="598" spans="1:5" x14ac:dyDescent="0.2">
      <c r="A598" t="str">
        <f t="shared" si="9"/>
        <v>KUMC - Kansas Health Systems – St. Francis Campus|Kansas Birth Justice Society</v>
      </c>
      <c r="B598" t="s">
        <v>20</v>
      </c>
      <c r="C598" t="s">
        <v>15</v>
      </c>
      <c r="D598">
        <v>120.0833333333333</v>
      </c>
      <c r="E598">
        <v>139.55250000000001</v>
      </c>
    </row>
    <row r="599" spans="1:5" x14ac:dyDescent="0.2">
      <c r="A599" t="str">
        <f t="shared" si="9"/>
        <v>KUMC - Kansas Health Systems – St. Francis Campus|Flint Hills- Riley County Health Department</v>
      </c>
      <c r="B599" t="s">
        <v>20</v>
      </c>
      <c r="C599" t="s">
        <v>14</v>
      </c>
      <c r="D599">
        <v>55.8</v>
      </c>
      <c r="E599">
        <v>58.850099999999998</v>
      </c>
    </row>
    <row r="600" spans="1:5" x14ac:dyDescent="0.2">
      <c r="A600" t="str">
        <f t="shared" si="9"/>
        <v>KUMC - Kansas Health Systems – St. Francis Campus|Washington Regional Medical Center</v>
      </c>
      <c r="B600" t="s">
        <v>20</v>
      </c>
      <c r="C600" t="s">
        <v>13</v>
      </c>
      <c r="D600">
        <v>247.8666666666667</v>
      </c>
      <c r="E600">
        <v>293.25299999999999</v>
      </c>
    </row>
    <row r="601" spans="1:5" x14ac:dyDescent="0.2">
      <c r="A601" t="str">
        <f t="shared" si="9"/>
        <v>KUMC - Kansas Health Systems – St. Francis Campus|South Central Medical Center</v>
      </c>
      <c r="B601" t="s">
        <v>20</v>
      </c>
      <c r="C601" t="s">
        <v>12</v>
      </c>
      <c r="D601">
        <v>291.01666666666671</v>
      </c>
      <c r="E601">
        <v>343.89729999999997</v>
      </c>
    </row>
    <row r="602" spans="1:5" x14ac:dyDescent="0.2">
      <c r="A602" t="str">
        <f t="shared" si="9"/>
        <v>KUMC - Kansas Health Systems – St. Francis Campus|Andrew County</v>
      </c>
      <c r="B602" t="s">
        <v>20</v>
      </c>
      <c r="C602" t="s">
        <v>11</v>
      </c>
      <c r="D602">
        <v>98.683333333333337</v>
      </c>
      <c r="E602">
        <v>112.99509999999999</v>
      </c>
    </row>
    <row r="603" spans="1:5" x14ac:dyDescent="0.2">
      <c r="A603" t="str">
        <f t="shared" si="9"/>
        <v>KUMC - Kansas Health Systems – St. Francis Campus|Comanche County Memorial Hospital</v>
      </c>
      <c r="B603" t="s">
        <v>20</v>
      </c>
      <c r="C603" t="s">
        <v>10</v>
      </c>
      <c r="D603">
        <v>313.48333333333329</v>
      </c>
      <c r="E603">
        <v>380.80419999999998</v>
      </c>
    </row>
    <row r="604" spans="1:5" x14ac:dyDescent="0.2">
      <c r="A604" t="str">
        <f t="shared" si="9"/>
        <v>KUMC - Kansas Health Systems – St. Francis Campus|Garfield County Health Department</v>
      </c>
      <c r="B604" t="s">
        <v>20</v>
      </c>
      <c r="C604" t="s">
        <v>9</v>
      </c>
      <c r="D604">
        <v>215.75</v>
      </c>
      <c r="E604">
        <v>257.39120000000003</v>
      </c>
    </row>
    <row r="605" spans="1:5" x14ac:dyDescent="0.2">
      <c r="A605" t="str">
        <f t="shared" si="9"/>
        <v>KUMC - Kansas Health Systems – St. Francis Campus|Grady County</v>
      </c>
      <c r="B605" t="s">
        <v>20</v>
      </c>
      <c r="C605" t="s">
        <v>8</v>
      </c>
      <c r="D605">
        <v>278.75</v>
      </c>
      <c r="E605">
        <v>336.55200000000002</v>
      </c>
    </row>
    <row r="606" spans="1:5" x14ac:dyDescent="0.2">
      <c r="A606" t="str">
        <f t="shared" si="9"/>
        <v>KUMC - Kansas Health Systems – St. Francis Campus|Beckham County</v>
      </c>
      <c r="B606" t="s">
        <v>20</v>
      </c>
      <c r="C606" t="s">
        <v>7</v>
      </c>
      <c r="D606">
        <v>331.4</v>
      </c>
      <c r="E606">
        <v>405.6379</v>
      </c>
    </row>
    <row r="607" spans="1:5" x14ac:dyDescent="0.2">
      <c r="A607" t="str">
        <f t="shared" si="9"/>
        <v>KUMC - Kansas Health Systems – St. Francis Campus|Custer County</v>
      </c>
      <c r="B607" t="s">
        <v>20</v>
      </c>
      <c r="C607" t="s">
        <v>6</v>
      </c>
      <c r="D607">
        <v>312.3</v>
      </c>
      <c r="E607">
        <v>380.06599999999997</v>
      </c>
    </row>
    <row r="608" spans="1:5" x14ac:dyDescent="0.2">
      <c r="A608" t="str">
        <f t="shared" si="9"/>
        <v>KUMC - Kansas Health Systems – St. Francis Campus|Pontotoc County</v>
      </c>
      <c r="B608" t="s">
        <v>20</v>
      </c>
      <c r="C608" t="s">
        <v>5</v>
      </c>
      <c r="D608">
        <v>316.51666666666671</v>
      </c>
      <c r="E608">
        <v>372.8612</v>
      </c>
    </row>
    <row r="609" spans="1:5" x14ac:dyDescent="0.2">
      <c r="A609" t="str">
        <f t="shared" si="9"/>
        <v>KUMC - Kansas Health Systems – St. Francis Campus|McIntosh County</v>
      </c>
      <c r="B609" t="s">
        <v>20</v>
      </c>
      <c r="C609" t="s">
        <v>4</v>
      </c>
      <c r="D609">
        <v>276.8</v>
      </c>
      <c r="E609">
        <v>288.15089999999998</v>
      </c>
    </row>
    <row r="610" spans="1:5" x14ac:dyDescent="0.2">
      <c r="A610" t="str">
        <f t="shared" si="9"/>
        <v>KUMC - Kansas Health Systems – St. Francis Campus|Carter County Health Department</v>
      </c>
      <c r="B610" t="s">
        <v>20</v>
      </c>
      <c r="C610" t="s">
        <v>3</v>
      </c>
      <c r="D610">
        <v>322.10000000000002</v>
      </c>
      <c r="E610">
        <v>390.43110000000001</v>
      </c>
    </row>
    <row r="611" spans="1:5" x14ac:dyDescent="0.2">
      <c r="A611" t="str">
        <f t="shared" si="9"/>
        <v>KUMC - Kansas Health Systems – St. Francis Campus|Jackson County Altus</v>
      </c>
      <c r="B611" t="s">
        <v>20</v>
      </c>
      <c r="C611" t="s">
        <v>2</v>
      </c>
      <c r="D611">
        <v>359.66666666666669</v>
      </c>
      <c r="E611">
        <v>432.44450000000001</v>
      </c>
    </row>
    <row r="612" spans="1:5" x14ac:dyDescent="0.2">
      <c r="A612" t="str">
        <f t="shared" si="9"/>
        <v>KUMC - Kansas Health Systems – St. Francis Campus|Alliance Health Woodward</v>
      </c>
      <c r="B612" t="s">
        <v>20</v>
      </c>
      <c r="C612" t="s">
        <v>0</v>
      </c>
      <c r="D612">
        <v>292.95</v>
      </c>
      <c r="E612">
        <v>333.69369999999998</v>
      </c>
    </row>
    <row r="613" spans="1:5" x14ac:dyDescent="0.2">
      <c r="A613" t="str">
        <f t="shared" si="9"/>
        <v>KUMC - Kansas Health Systems – St. Francis Campus|McAlester Regional Health</v>
      </c>
      <c r="B613" t="s">
        <v>20</v>
      </c>
      <c r="C613" t="s">
        <v>1</v>
      </c>
      <c r="D613">
        <v>308.48333333333329</v>
      </c>
      <c r="E613">
        <v>311.01929999999999</v>
      </c>
    </row>
    <row r="614" spans="1:5" x14ac:dyDescent="0.2">
      <c r="A614" t="str">
        <f t="shared" si="9"/>
        <v>Shawnee Mission MC|Oklahoma Mothers’ Milk Bank</v>
      </c>
      <c r="B614" t="s">
        <v>19</v>
      </c>
      <c r="C614" t="s">
        <v>36</v>
      </c>
      <c r="D614">
        <v>274.2</v>
      </c>
      <c r="E614">
        <v>337.00940000000003</v>
      </c>
    </row>
    <row r="615" spans="1:5" x14ac:dyDescent="0.2">
      <c r="A615" t="str">
        <f t="shared" si="9"/>
        <v>Shawnee Mission MC|Integris Southwest</v>
      </c>
      <c r="B615" t="s">
        <v>19</v>
      </c>
      <c r="C615" t="s">
        <v>35</v>
      </c>
      <c r="D615">
        <v>278.13333333333333</v>
      </c>
      <c r="E615">
        <v>341.94740000000002</v>
      </c>
    </row>
    <row r="616" spans="1:5" x14ac:dyDescent="0.2">
      <c r="A616" t="str">
        <f t="shared" si="9"/>
        <v>Shawnee Mission MC|Integris Baptist</v>
      </c>
      <c r="B616" t="s">
        <v>19</v>
      </c>
      <c r="C616" t="s">
        <v>34</v>
      </c>
      <c r="D616">
        <v>274.58333333333331</v>
      </c>
      <c r="E616">
        <v>337.7072</v>
      </c>
    </row>
    <row r="617" spans="1:5" x14ac:dyDescent="0.2">
      <c r="A617" t="str">
        <f t="shared" si="9"/>
        <v>Shawnee Mission MC|Cleveland County Moore</v>
      </c>
      <c r="B617" t="s">
        <v>19</v>
      </c>
      <c r="C617" t="s">
        <v>33</v>
      </c>
      <c r="D617">
        <v>282.68333333333328</v>
      </c>
      <c r="E617">
        <v>347.25700000000001</v>
      </c>
    </row>
    <row r="618" spans="1:5" x14ac:dyDescent="0.2">
      <c r="A618" t="str">
        <f t="shared" si="9"/>
        <v>Shawnee Mission MC|Variety Care- Lafayette</v>
      </c>
      <c r="B618" t="s">
        <v>19</v>
      </c>
      <c r="C618" t="s">
        <v>32</v>
      </c>
      <c r="D618">
        <v>278.45</v>
      </c>
      <c r="E618">
        <v>342.02449999999999</v>
      </c>
    </row>
    <row r="619" spans="1:5" x14ac:dyDescent="0.2">
      <c r="A619" t="str">
        <f t="shared" si="9"/>
        <v>Shawnee Mission MC|Edmond Hope Center</v>
      </c>
      <c r="B619" t="s">
        <v>19</v>
      </c>
      <c r="C619" t="s">
        <v>31</v>
      </c>
      <c r="D619">
        <v>263.83333333333331</v>
      </c>
      <c r="E619">
        <v>324.75470000000001</v>
      </c>
    </row>
    <row r="620" spans="1:5" x14ac:dyDescent="0.2">
      <c r="A620" t="str">
        <f t="shared" si="9"/>
        <v>Shawnee Mission MC|Canadian Valley</v>
      </c>
      <c r="B620" t="s">
        <v>19</v>
      </c>
      <c r="C620" t="s">
        <v>30</v>
      </c>
      <c r="D620">
        <v>287.06666666666672</v>
      </c>
      <c r="E620">
        <v>354.44319999999999</v>
      </c>
    </row>
    <row r="621" spans="1:5" x14ac:dyDescent="0.2">
      <c r="A621" t="str">
        <f t="shared" si="9"/>
        <v>Shawnee Mission MC|St. Anthony Shawnee Hospital</v>
      </c>
      <c r="B621" t="s">
        <v>19</v>
      </c>
      <c r="C621" t="s">
        <v>29</v>
      </c>
      <c r="D621">
        <v>297.63333333333333</v>
      </c>
      <c r="E621">
        <v>319.61900000000003</v>
      </c>
    </row>
    <row r="622" spans="1:5" x14ac:dyDescent="0.2">
      <c r="A622" t="str">
        <f t="shared" si="9"/>
        <v>Shawnee Mission MC|OU Children’s Hospital</v>
      </c>
      <c r="B622" t="s">
        <v>19</v>
      </c>
      <c r="C622" t="s">
        <v>28</v>
      </c>
      <c r="D622">
        <v>275.33333333333331</v>
      </c>
      <c r="E622">
        <v>337.18650000000002</v>
      </c>
    </row>
    <row r="623" spans="1:5" x14ac:dyDescent="0.2">
      <c r="A623" t="str">
        <f t="shared" si="9"/>
        <v>Shawnee Mission MC|OBI</v>
      </c>
      <c r="B623" t="s">
        <v>19</v>
      </c>
      <c r="C623" t="s">
        <v>27</v>
      </c>
      <c r="D623">
        <v>221.7</v>
      </c>
      <c r="E623">
        <v>233.2056</v>
      </c>
    </row>
    <row r="624" spans="1:5" x14ac:dyDescent="0.2">
      <c r="A624" t="str">
        <f t="shared" si="9"/>
        <v>Shawnee Mission MC|Tulsa Hillcrest Hospital</v>
      </c>
      <c r="B624" t="s">
        <v>19</v>
      </c>
      <c r="C624" t="s">
        <v>26</v>
      </c>
      <c r="D624">
        <v>218.18333333333331</v>
      </c>
      <c r="E624">
        <v>230.32990000000001</v>
      </c>
    </row>
    <row r="625" spans="1:5" x14ac:dyDescent="0.2">
      <c r="A625" t="str">
        <f t="shared" si="9"/>
        <v>Shawnee Mission MC|St. John Owasso</v>
      </c>
      <c r="B625" t="s">
        <v>19</v>
      </c>
      <c r="C625" t="s">
        <v>25</v>
      </c>
      <c r="D625">
        <v>202.76666666666671</v>
      </c>
      <c r="E625">
        <v>214.03129999999999</v>
      </c>
    </row>
    <row r="626" spans="1:5" x14ac:dyDescent="0.2">
      <c r="A626" t="str">
        <f t="shared" si="9"/>
        <v>Shawnee Mission MC|Jane Phillips Medical Center</v>
      </c>
      <c r="B626" t="s">
        <v>19</v>
      </c>
      <c r="C626" t="s">
        <v>24</v>
      </c>
      <c r="D626">
        <v>182.55</v>
      </c>
      <c r="E626">
        <v>191.47620000000001</v>
      </c>
    </row>
    <row r="627" spans="1:5" x14ac:dyDescent="0.2">
      <c r="A627" t="str">
        <f t="shared" si="9"/>
        <v>Shawnee Mission MC|YWCA South</v>
      </c>
      <c r="B627" t="s">
        <v>19</v>
      </c>
      <c r="C627" t="s">
        <v>23</v>
      </c>
      <c r="D627">
        <v>217.81666666666669</v>
      </c>
      <c r="E627">
        <v>231.61670000000001</v>
      </c>
    </row>
    <row r="628" spans="1:5" x14ac:dyDescent="0.2">
      <c r="A628" t="str">
        <f t="shared" si="9"/>
        <v>Shawnee Mission MC|YWCA East</v>
      </c>
      <c r="B628" t="s">
        <v>19</v>
      </c>
      <c r="C628" t="s">
        <v>22</v>
      </c>
      <c r="D628">
        <v>214.6</v>
      </c>
      <c r="E628">
        <v>226.6464</v>
      </c>
    </row>
    <row r="629" spans="1:5" x14ac:dyDescent="0.2">
      <c r="A629" t="str">
        <f t="shared" si="9"/>
        <v>Shawnee Mission MC|KUMC - University of Kansas Health System</v>
      </c>
      <c r="B629" t="s">
        <v>19</v>
      </c>
      <c r="C629" t="s">
        <v>21</v>
      </c>
      <c r="D629">
        <v>15.33333333333333</v>
      </c>
      <c r="E629">
        <v>9.7088999999999999</v>
      </c>
    </row>
    <row r="630" spans="1:5" x14ac:dyDescent="0.2">
      <c r="A630" t="str">
        <f t="shared" si="9"/>
        <v>Shawnee Mission MC|KUMC - Kansas Health Systems – St. Francis Campus</v>
      </c>
      <c r="B630" t="s">
        <v>19</v>
      </c>
      <c r="C630" t="s">
        <v>20</v>
      </c>
      <c r="D630">
        <v>60.383333333333333</v>
      </c>
      <c r="E630">
        <v>63.783799999999999</v>
      </c>
    </row>
    <row r="631" spans="1:5" x14ac:dyDescent="0.2">
      <c r="A631" t="str">
        <f t="shared" si="9"/>
        <v>Shawnee Mission MC|Woven Leaf</v>
      </c>
      <c r="B631" t="s">
        <v>19</v>
      </c>
      <c r="C631" t="s">
        <v>18</v>
      </c>
      <c r="D631">
        <v>104.5333333333333</v>
      </c>
      <c r="E631">
        <v>111.2633</v>
      </c>
    </row>
    <row r="632" spans="1:5" x14ac:dyDescent="0.2">
      <c r="A632" t="str">
        <f t="shared" si="9"/>
        <v>Shawnee Mission MC|Southeast KS Health Department</v>
      </c>
      <c r="B632" t="s">
        <v>19</v>
      </c>
      <c r="C632" t="s">
        <v>17</v>
      </c>
      <c r="D632">
        <v>88.36666666666666</v>
      </c>
      <c r="E632">
        <v>92.1935</v>
      </c>
    </row>
    <row r="633" spans="1:5" x14ac:dyDescent="0.2">
      <c r="A633" t="str">
        <f t="shared" si="9"/>
        <v>Shawnee Mission MC|Salina Regional</v>
      </c>
      <c r="B633" t="s">
        <v>19</v>
      </c>
      <c r="C633" t="s">
        <v>16</v>
      </c>
      <c r="D633">
        <v>150.48333333333329</v>
      </c>
      <c r="E633">
        <v>175.6275</v>
      </c>
    </row>
    <row r="634" spans="1:5" x14ac:dyDescent="0.2">
      <c r="A634" t="str">
        <f t="shared" si="9"/>
        <v>Shawnee Mission MC|Kansas Birth Justice Society</v>
      </c>
      <c r="B634" t="s">
        <v>19</v>
      </c>
      <c r="C634" t="s">
        <v>15</v>
      </c>
      <c r="D634">
        <v>153.16666666666671</v>
      </c>
      <c r="E634">
        <v>184.58699999999999</v>
      </c>
    </row>
    <row r="635" spans="1:5" x14ac:dyDescent="0.2">
      <c r="A635" t="str">
        <f t="shared" si="9"/>
        <v>Shawnee Mission MC|Flint Hills- Riley County Health Department</v>
      </c>
      <c r="B635" t="s">
        <v>19</v>
      </c>
      <c r="C635" t="s">
        <v>14</v>
      </c>
      <c r="D635">
        <v>109.98333333333331</v>
      </c>
      <c r="E635">
        <v>122.1349</v>
      </c>
    </row>
    <row r="636" spans="1:5" x14ac:dyDescent="0.2">
      <c r="A636" t="str">
        <f t="shared" si="9"/>
        <v>Shawnee Mission MC|Washington Regional Medical Center</v>
      </c>
      <c r="B636" t="s">
        <v>19</v>
      </c>
      <c r="C636" t="s">
        <v>13</v>
      </c>
      <c r="D636">
        <v>199.8666666666667</v>
      </c>
      <c r="E636">
        <v>237.87639999999999</v>
      </c>
    </row>
    <row r="637" spans="1:5" x14ac:dyDescent="0.2">
      <c r="A637" t="str">
        <f t="shared" si="9"/>
        <v>Shawnee Mission MC|South Central Medical Center</v>
      </c>
      <c r="B637" t="s">
        <v>19</v>
      </c>
      <c r="C637" t="s">
        <v>12</v>
      </c>
      <c r="D637">
        <v>324.10000000000002</v>
      </c>
      <c r="E637">
        <v>388.93180000000001</v>
      </c>
    </row>
    <row r="638" spans="1:5" x14ac:dyDescent="0.2">
      <c r="A638" t="str">
        <f t="shared" si="9"/>
        <v>Shawnee Mission MC|Andrew County</v>
      </c>
      <c r="B638" t="s">
        <v>19</v>
      </c>
      <c r="C638" t="s">
        <v>11</v>
      </c>
      <c r="D638">
        <v>69.833333333333329</v>
      </c>
      <c r="E638">
        <v>73.8108</v>
      </c>
    </row>
    <row r="639" spans="1:5" x14ac:dyDescent="0.2">
      <c r="A639" t="str">
        <f t="shared" si="9"/>
        <v>Shawnee Mission MC|Comanche County Memorial Hospital</v>
      </c>
      <c r="B639" t="s">
        <v>19</v>
      </c>
      <c r="C639" t="s">
        <v>10</v>
      </c>
      <c r="D639">
        <v>346.56666666666672</v>
      </c>
      <c r="E639">
        <v>425.83870000000002</v>
      </c>
    </row>
    <row r="640" spans="1:5" x14ac:dyDescent="0.2">
      <c r="A640" t="str">
        <f t="shared" si="9"/>
        <v>Shawnee Mission MC|Garfield County Health Department</v>
      </c>
      <c r="B640" t="s">
        <v>19</v>
      </c>
      <c r="C640" t="s">
        <v>9</v>
      </c>
      <c r="D640">
        <v>248.83333333333329</v>
      </c>
      <c r="E640">
        <v>302.42570000000001</v>
      </c>
    </row>
    <row r="641" spans="1:5" x14ac:dyDescent="0.2">
      <c r="A641" t="str">
        <f t="shared" si="9"/>
        <v>Shawnee Mission MC|Grady County</v>
      </c>
      <c r="B641" t="s">
        <v>19</v>
      </c>
      <c r="C641" t="s">
        <v>8</v>
      </c>
      <c r="D641">
        <v>311.83333333333331</v>
      </c>
      <c r="E641">
        <v>381.5865</v>
      </c>
    </row>
    <row r="642" spans="1:5" x14ac:dyDescent="0.2">
      <c r="A642" t="str">
        <f t="shared" ref="A642:A705" si="10">CONCATENATE(B642,"|",C642)</f>
        <v>Shawnee Mission MC|Beckham County</v>
      </c>
      <c r="B642" t="s">
        <v>19</v>
      </c>
      <c r="C642" t="s">
        <v>7</v>
      </c>
      <c r="D642">
        <v>364.48333333333329</v>
      </c>
      <c r="E642">
        <v>450.67239999999998</v>
      </c>
    </row>
    <row r="643" spans="1:5" x14ac:dyDescent="0.2">
      <c r="A643" t="str">
        <f t="shared" si="10"/>
        <v>Shawnee Mission MC|Custer County</v>
      </c>
      <c r="B643" t="s">
        <v>19</v>
      </c>
      <c r="C643" t="s">
        <v>6</v>
      </c>
      <c r="D643">
        <v>345.38333333333333</v>
      </c>
      <c r="E643">
        <v>425.10050000000001</v>
      </c>
    </row>
    <row r="644" spans="1:5" x14ac:dyDescent="0.2">
      <c r="A644" t="str">
        <f t="shared" si="10"/>
        <v>Shawnee Mission MC|Pontotoc County</v>
      </c>
      <c r="B644" t="s">
        <v>19</v>
      </c>
      <c r="C644" t="s">
        <v>5</v>
      </c>
      <c r="D644">
        <v>330.63333333333333</v>
      </c>
      <c r="E644">
        <v>351.66500000000002</v>
      </c>
    </row>
    <row r="645" spans="1:5" x14ac:dyDescent="0.2">
      <c r="A645" t="str">
        <f t="shared" si="10"/>
        <v>Shawnee Mission MC|McIntosh County</v>
      </c>
      <c r="B645" t="s">
        <v>19</v>
      </c>
      <c r="C645" t="s">
        <v>4</v>
      </c>
      <c r="D645">
        <v>255.5333333333333</v>
      </c>
      <c r="E645">
        <v>267.02370000000002</v>
      </c>
    </row>
    <row r="646" spans="1:5" x14ac:dyDescent="0.2">
      <c r="A646" t="str">
        <f t="shared" si="10"/>
        <v>Shawnee Mission MC|Carter County Health Department</v>
      </c>
      <c r="B646" t="s">
        <v>19</v>
      </c>
      <c r="C646" t="s">
        <v>3</v>
      </c>
      <c r="D646">
        <v>355.18333333333328</v>
      </c>
      <c r="E646">
        <v>435.46559999999999</v>
      </c>
    </row>
    <row r="647" spans="1:5" x14ac:dyDescent="0.2">
      <c r="A647" t="str">
        <f t="shared" si="10"/>
        <v>Shawnee Mission MC|Jackson County Altus</v>
      </c>
      <c r="B647" t="s">
        <v>19</v>
      </c>
      <c r="C647" t="s">
        <v>2</v>
      </c>
      <c r="D647">
        <v>392.75</v>
      </c>
      <c r="E647">
        <v>477.47899999999998</v>
      </c>
    </row>
    <row r="648" spans="1:5" x14ac:dyDescent="0.2">
      <c r="A648" t="str">
        <f t="shared" si="10"/>
        <v>Shawnee Mission MC|Alliance Health Woodward</v>
      </c>
      <c r="B648" t="s">
        <v>19</v>
      </c>
      <c r="C648" t="s">
        <v>0</v>
      </c>
      <c r="D648">
        <v>326.03333333333342</v>
      </c>
      <c r="E648">
        <v>378.72820000000002</v>
      </c>
    </row>
    <row r="649" spans="1:5" x14ac:dyDescent="0.2">
      <c r="A649" t="str">
        <f t="shared" si="10"/>
        <v>Shawnee Mission MC|McAlester Regional Health</v>
      </c>
      <c r="B649" t="s">
        <v>19</v>
      </c>
      <c r="C649" t="s">
        <v>1</v>
      </c>
      <c r="D649">
        <v>290.98333333333329</v>
      </c>
      <c r="E649">
        <v>308.74509999999998</v>
      </c>
    </row>
    <row r="650" spans="1:5" x14ac:dyDescent="0.2">
      <c r="A650" t="str">
        <f t="shared" si="10"/>
        <v>Woven Leaf|Oklahoma Mothers’ Milk Bank</v>
      </c>
      <c r="B650" t="s">
        <v>18</v>
      </c>
      <c r="C650" t="s">
        <v>36</v>
      </c>
      <c r="D650">
        <v>208.06666666666669</v>
      </c>
      <c r="E650">
        <v>228.10659999999999</v>
      </c>
    </row>
    <row r="651" spans="1:5" x14ac:dyDescent="0.2">
      <c r="A651" t="str">
        <f t="shared" si="10"/>
        <v>Woven Leaf|Integris Southwest</v>
      </c>
      <c r="B651" t="s">
        <v>18</v>
      </c>
      <c r="C651" t="s">
        <v>35</v>
      </c>
      <c r="D651">
        <v>212</v>
      </c>
      <c r="E651">
        <v>233.0446</v>
      </c>
    </row>
    <row r="652" spans="1:5" x14ac:dyDescent="0.2">
      <c r="A652" t="str">
        <f t="shared" si="10"/>
        <v>Woven Leaf|Integris Baptist</v>
      </c>
      <c r="B652" t="s">
        <v>18</v>
      </c>
      <c r="C652" t="s">
        <v>34</v>
      </c>
      <c r="D652">
        <v>208.45</v>
      </c>
      <c r="E652">
        <v>228.80439999999999</v>
      </c>
    </row>
    <row r="653" spans="1:5" x14ac:dyDescent="0.2">
      <c r="A653" t="str">
        <f t="shared" si="10"/>
        <v>Woven Leaf|Cleveland County Moore</v>
      </c>
      <c r="B653" t="s">
        <v>18</v>
      </c>
      <c r="C653" t="s">
        <v>33</v>
      </c>
      <c r="D653">
        <v>218.65</v>
      </c>
      <c r="E653">
        <v>236.24529999999999</v>
      </c>
    </row>
    <row r="654" spans="1:5" x14ac:dyDescent="0.2">
      <c r="A654" t="str">
        <f t="shared" si="10"/>
        <v>Woven Leaf|Variety Care- Lafayette</v>
      </c>
      <c r="B654" t="s">
        <v>18</v>
      </c>
      <c r="C654" t="s">
        <v>32</v>
      </c>
      <c r="D654">
        <v>212.31666666666669</v>
      </c>
      <c r="E654">
        <v>233.1217</v>
      </c>
    </row>
    <row r="655" spans="1:5" x14ac:dyDescent="0.2">
      <c r="A655" t="str">
        <f t="shared" si="10"/>
        <v>Woven Leaf|Edmond Hope Center</v>
      </c>
      <c r="B655" t="s">
        <v>18</v>
      </c>
      <c r="C655" t="s">
        <v>31</v>
      </c>
      <c r="D655">
        <v>204.66666666666671</v>
      </c>
      <c r="E655">
        <v>225.0737</v>
      </c>
    </row>
    <row r="656" spans="1:5" x14ac:dyDescent="0.2">
      <c r="A656" t="str">
        <f t="shared" si="10"/>
        <v>Woven Leaf|Canadian Valley</v>
      </c>
      <c r="B656" t="s">
        <v>18</v>
      </c>
      <c r="C656" t="s">
        <v>30</v>
      </c>
      <c r="D656">
        <v>220.8666666666667</v>
      </c>
      <c r="E656">
        <v>245.6951</v>
      </c>
    </row>
    <row r="657" spans="1:5" x14ac:dyDescent="0.2">
      <c r="A657" t="str">
        <f t="shared" si="10"/>
        <v>Woven Leaf|St. Anthony Shawnee Hospital</v>
      </c>
      <c r="B657" t="s">
        <v>18</v>
      </c>
      <c r="C657" t="s">
        <v>29</v>
      </c>
      <c r="D657">
        <v>202.66666666666671</v>
      </c>
      <c r="E657">
        <v>212.52260000000001</v>
      </c>
    </row>
    <row r="658" spans="1:5" x14ac:dyDescent="0.2">
      <c r="A658" t="str">
        <f t="shared" si="10"/>
        <v>Woven Leaf|OU Children’s Hospital</v>
      </c>
      <c r="B658" t="s">
        <v>18</v>
      </c>
      <c r="C658" t="s">
        <v>28</v>
      </c>
      <c r="D658">
        <v>209.2</v>
      </c>
      <c r="E658">
        <v>228.28370000000001</v>
      </c>
    </row>
    <row r="659" spans="1:5" x14ac:dyDescent="0.2">
      <c r="A659" t="str">
        <f t="shared" si="10"/>
        <v>Woven Leaf|OBI</v>
      </c>
      <c r="B659" t="s">
        <v>18</v>
      </c>
      <c r="C659" t="s">
        <v>27</v>
      </c>
      <c r="D659">
        <v>126.73333333333331</v>
      </c>
      <c r="E659">
        <v>126.1091</v>
      </c>
    </row>
    <row r="660" spans="1:5" x14ac:dyDescent="0.2">
      <c r="A660" t="str">
        <f t="shared" si="10"/>
        <v>Woven Leaf|Tulsa Hillcrest Hospital</v>
      </c>
      <c r="B660" t="s">
        <v>18</v>
      </c>
      <c r="C660" t="s">
        <v>26</v>
      </c>
      <c r="D660">
        <v>123.2166666666667</v>
      </c>
      <c r="E660">
        <v>123.2334</v>
      </c>
    </row>
    <row r="661" spans="1:5" x14ac:dyDescent="0.2">
      <c r="A661" t="str">
        <f t="shared" si="10"/>
        <v>Woven Leaf|St. John Owasso</v>
      </c>
      <c r="B661" t="s">
        <v>18</v>
      </c>
      <c r="C661" t="s">
        <v>25</v>
      </c>
      <c r="D661">
        <v>107.8</v>
      </c>
      <c r="E661">
        <v>106.9349</v>
      </c>
    </row>
    <row r="662" spans="1:5" x14ac:dyDescent="0.2">
      <c r="A662" t="str">
        <f t="shared" si="10"/>
        <v>Woven Leaf|Jane Phillips Medical Center</v>
      </c>
      <c r="B662" t="s">
        <v>18</v>
      </c>
      <c r="C662" t="s">
        <v>24</v>
      </c>
      <c r="D662">
        <v>87.583333333333329</v>
      </c>
      <c r="E662">
        <v>84.3797</v>
      </c>
    </row>
    <row r="663" spans="1:5" x14ac:dyDescent="0.2">
      <c r="A663" t="str">
        <f t="shared" si="10"/>
        <v>Woven Leaf|YWCA South</v>
      </c>
      <c r="B663" t="s">
        <v>18</v>
      </c>
      <c r="C663" t="s">
        <v>23</v>
      </c>
      <c r="D663">
        <v>122.85</v>
      </c>
      <c r="E663">
        <v>124.52030000000001</v>
      </c>
    </row>
    <row r="664" spans="1:5" x14ac:dyDescent="0.2">
      <c r="A664" t="str">
        <f t="shared" si="10"/>
        <v>Woven Leaf|YWCA East</v>
      </c>
      <c r="B664" t="s">
        <v>18</v>
      </c>
      <c r="C664" t="s">
        <v>22</v>
      </c>
      <c r="D664">
        <v>119.6333333333333</v>
      </c>
      <c r="E664">
        <v>119.55</v>
      </c>
    </row>
    <row r="665" spans="1:5" x14ac:dyDescent="0.2">
      <c r="A665" t="str">
        <f t="shared" si="10"/>
        <v>Woven Leaf|KUMC - University of Kansas Health System</v>
      </c>
      <c r="B665" t="s">
        <v>18</v>
      </c>
      <c r="C665" t="s">
        <v>21</v>
      </c>
      <c r="D665">
        <v>111.73333333333331</v>
      </c>
      <c r="E665">
        <v>119.4804</v>
      </c>
    </row>
    <row r="666" spans="1:5" x14ac:dyDescent="0.2">
      <c r="A666" t="str">
        <f t="shared" si="10"/>
        <v>Woven Leaf|KUMC - Kansas Health Systems – St. Francis Campus</v>
      </c>
      <c r="B666" t="s">
        <v>18</v>
      </c>
      <c r="C666" t="s">
        <v>20</v>
      </c>
      <c r="D666">
        <v>112.18333333333329</v>
      </c>
      <c r="E666">
        <v>111.1938</v>
      </c>
    </row>
    <row r="667" spans="1:5" x14ac:dyDescent="0.2">
      <c r="A667" t="str">
        <f t="shared" si="10"/>
        <v>Woven Leaf|Shawnee Mission MC</v>
      </c>
      <c r="B667" t="s">
        <v>18</v>
      </c>
      <c r="C667" t="s">
        <v>19</v>
      </c>
      <c r="D667">
        <v>103.35</v>
      </c>
      <c r="E667">
        <v>111.0459</v>
      </c>
    </row>
    <row r="668" spans="1:5" x14ac:dyDescent="0.2">
      <c r="A668" t="str">
        <f t="shared" si="10"/>
        <v>Woven Leaf|Southeast KS Health Department</v>
      </c>
      <c r="B668" t="s">
        <v>18</v>
      </c>
      <c r="C668" t="s">
        <v>17</v>
      </c>
      <c r="D668">
        <v>24.266666666666669</v>
      </c>
      <c r="E668">
        <v>20.9862</v>
      </c>
    </row>
    <row r="669" spans="1:5" x14ac:dyDescent="0.2">
      <c r="A669" t="str">
        <f t="shared" si="10"/>
        <v>Woven Leaf|Salina Regional</v>
      </c>
      <c r="B669" t="s">
        <v>18</v>
      </c>
      <c r="C669" t="s">
        <v>16</v>
      </c>
      <c r="D669">
        <v>176.48333333333329</v>
      </c>
      <c r="E669">
        <v>195.36779999999999</v>
      </c>
    </row>
    <row r="670" spans="1:5" x14ac:dyDescent="0.2">
      <c r="A670" t="str">
        <f t="shared" si="10"/>
        <v>Woven Leaf|Kansas Birth Justice Society</v>
      </c>
      <c r="B670" t="s">
        <v>18</v>
      </c>
      <c r="C670" t="s">
        <v>15</v>
      </c>
      <c r="D670">
        <v>105.1166666666667</v>
      </c>
      <c r="E670">
        <v>109.20659999999999</v>
      </c>
    </row>
    <row r="671" spans="1:5" x14ac:dyDescent="0.2">
      <c r="A671" t="str">
        <f t="shared" si="10"/>
        <v>Woven Leaf|Flint Hills- Riley County Health Department</v>
      </c>
      <c r="B671" t="s">
        <v>18</v>
      </c>
      <c r="C671" t="s">
        <v>14</v>
      </c>
      <c r="D671">
        <v>155.3666666666667</v>
      </c>
      <c r="E671">
        <v>165.73769999999999</v>
      </c>
    </row>
    <row r="672" spans="1:5" x14ac:dyDescent="0.2">
      <c r="A672" t="str">
        <f t="shared" si="10"/>
        <v>Woven Leaf|Washington Regional Medical Center</v>
      </c>
      <c r="B672" t="s">
        <v>18</v>
      </c>
      <c r="C672" t="s">
        <v>13</v>
      </c>
      <c r="D672">
        <v>165.3</v>
      </c>
      <c r="E672">
        <v>174.28280000000001</v>
      </c>
    </row>
    <row r="673" spans="1:5" x14ac:dyDescent="0.2">
      <c r="A673" t="str">
        <f t="shared" si="10"/>
        <v>Woven Leaf|South Central Medical Center</v>
      </c>
      <c r="B673" t="s">
        <v>18</v>
      </c>
      <c r="C673" t="s">
        <v>12</v>
      </c>
      <c r="D673">
        <v>257.96666666666658</v>
      </c>
      <c r="E673">
        <v>280.029</v>
      </c>
    </row>
    <row r="674" spans="1:5" x14ac:dyDescent="0.2">
      <c r="A674" t="str">
        <f t="shared" si="10"/>
        <v>Woven Leaf|Andrew County</v>
      </c>
      <c r="B674" t="s">
        <v>18</v>
      </c>
      <c r="C674" t="s">
        <v>11</v>
      </c>
      <c r="D674">
        <v>162.26666666666671</v>
      </c>
      <c r="E674">
        <v>180.6867</v>
      </c>
    </row>
    <row r="675" spans="1:5" x14ac:dyDescent="0.2">
      <c r="A675" t="str">
        <f t="shared" si="10"/>
        <v>Woven Leaf|Comanche County Memorial Hospital</v>
      </c>
      <c r="B675" t="s">
        <v>18</v>
      </c>
      <c r="C675" t="s">
        <v>10</v>
      </c>
      <c r="D675">
        <v>280.43333333333328</v>
      </c>
      <c r="E675">
        <v>316.93599999999998</v>
      </c>
    </row>
    <row r="676" spans="1:5" x14ac:dyDescent="0.2">
      <c r="A676" t="str">
        <f t="shared" si="10"/>
        <v>Woven Leaf|Garfield County Health Department</v>
      </c>
      <c r="B676" t="s">
        <v>18</v>
      </c>
      <c r="C676" t="s">
        <v>9</v>
      </c>
      <c r="D676">
        <v>202.7166666666667</v>
      </c>
      <c r="E676">
        <v>228.40610000000001</v>
      </c>
    </row>
    <row r="677" spans="1:5" x14ac:dyDescent="0.2">
      <c r="A677" t="str">
        <f t="shared" si="10"/>
        <v>Woven Leaf|Grady County</v>
      </c>
      <c r="B677" t="s">
        <v>18</v>
      </c>
      <c r="C677" t="s">
        <v>8</v>
      </c>
      <c r="D677">
        <v>245.68333333333331</v>
      </c>
      <c r="E677">
        <v>272.68130000000002</v>
      </c>
    </row>
    <row r="678" spans="1:5" x14ac:dyDescent="0.2">
      <c r="A678" t="str">
        <f t="shared" si="10"/>
        <v>Woven Leaf|Beckham County</v>
      </c>
      <c r="B678" t="s">
        <v>18</v>
      </c>
      <c r="C678" t="s">
        <v>7</v>
      </c>
      <c r="D678">
        <v>298.28333333333342</v>
      </c>
      <c r="E678">
        <v>341.92439999999999</v>
      </c>
    </row>
    <row r="679" spans="1:5" x14ac:dyDescent="0.2">
      <c r="A679" t="str">
        <f t="shared" si="10"/>
        <v>Woven Leaf|Custer County</v>
      </c>
      <c r="B679" t="s">
        <v>18</v>
      </c>
      <c r="C679" t="s">
        <v>6</v>
      </c>
      <c r="D679">
        <v>279.18333333333328</v>
      </c>
      <c r="E679">
        <v>316.35250000000002</v>
      </c>
    </row>
    <row r="680" spans="1:5" x14ac:dyDescent="0.2">
      <c r="A680" t="str">
        <f t="shared" si="10"/>
        <v>Woven Leaf|Pontotoc County</v>
      </c>
      <c r="B680" t="s">
        <v>18</v>
      </c>
      <c r="C680" t="s">
        <v>5</v>
      </c>
      <c r="D680">
        <v>235.66666666666671</v>
      </c>
      <c r="E680">
        <v>244.5686</v>
      </c>
    </row>
    <row r="681" spans="1:5" x14ac:dyDescent="0.2">
      <c r="A681" t="str">
        <f t="shared" si="10"/>
        <v>Woven Leaf|McIntosh County</v>
      </c>
      <c r="B681" t="s">
        <v>18</v>
      </c>
      <c r="C681" t="s">
        <v>4</v>
      </c>
      <c r="D681">
        <v>173.6166666666667</v>
      </c>
      <c r="E681">
        <v>180.89789999999999</v>
      </c>
    </row>
    <row r="682" spans="1:5" x14ac:dyDescent="0.2">
      <c r="A682" t="str">
        <f t="shared" si="10"/>
        <v>Woven Leaf|Carter County Health Department</v>
      </c>
      <c r="B682" t="s">
        <v>18</v>
      </c>
      <c r="C682" t="s">
        <v>3</v>
      </c>
      <c r="D682">
        <v>289.05</v>
      </c>
      <c r="E682">
        <v>326.56290000000001</v>
      </c>
    </row>
    <row r="683" spans="1:5" x14ac:dyDescent="0.2">
      <c r="A683" t="str">
        <f t="shared" si="10"/>
        <v>Woven Leaf|Jackson County Altus</v>
      </c>
      <c r="B683" t="s">
        <v>18</v>
      </c>
      <c r="C683" t="s">
        <v>2</v>
      </c>
      <c r="D683">
        <v>326.61666666666667</v>
      </c>
      <c r="E683">
        <v>368.5763</v>
      </c>
    </row>
    <row r="684" spans="1:5" x14ac:dyDescent="0.2">
      <c r="A684" t="str">
        <f t="shared" si="10"/>
        <v>Woven Leaf|Alliance Health Woodward</v>
      </c>
      <c r="B684" t="s">
        <v>18</v>
      </c>
      <c r="C684" t="s">
        <v>0</v>
      </c>
      <c r="D684">
        <v>278.2</v>
      </c>
      <c r="E684">
        <v>287.053</v>
      </c>
    </row>
    <row r="685" spans="1:5" x14ac:dyDescent="0.2">
      <c r="A685" t="str">
        <f t="shared" si="10"/>
        <v>Woven Leaf|McAlester Regional Health</v>
      </c>
      <c r="B685" t="s">
        <v>18</v>
      </c>
      <c r="C685" t="s">
        <v>1</v>
      </c>
      <c r="D685">
        <v>207.1333333333333</v>
      </c>
      <c r="E685">
        <v>215.1858</v>
      </c>
    </row>
    <row r="686" spans="1:5" x14ac:dyDescent="0.2">
      <c r="A686" t="str">
        <f t="shared" si="10"/>
        <v>Southeast KS Health Department|Oklahoma Mothers’ Milk Bank</v>
      </c>
      <c r="B686" t="s">
        <v>17</v>
      </c>
      <c r="C686" t="s">
        <v>36</v>
      </c>
      <c r="D686">
        <v>222.81666666666669</v>
      </c>
      <c r="E686">
        <v>244.9451</v>
      </c>
    </row>
    <row r="687" spans="1:5" x14ac:dyDescent="0.2">
      <c r="A687" t="str">
        <f t="shared" si="10"/>
        <v>Southeast KS Health Department|Integris Southwest</v>
      </c>
      <c r="B687" t="s">
        <v>17</v>
      </c>
      <c r="C687" t="s">
        <v>35</v>
      </c>
      <c r="D687">
        <v>226.75</v>
      </c>
      <c r="E687">
        <v>249.88319999999999</v>
      </c>
    </row>
    <row r="688" spans="1:5" x14ac:dyDescent="0.2">
      <c r="A688" t="str">
        <f t="shared" si="10"/>
        <v>Southeast KS Health Department|Integris Baptist</v>
      </c>
      <c r="B688" t="s">
        <v>17</v>
      </c>
      <c r="C688" t="s">
        <v>34</v>
      </c>
      <c r="D688">
        <v>223.2</v>
      </c>
      <c r="E688">
        <v>245.6429</v>
      </c>
    </row>
    <row r="689" spans="1:5" x14ac:dyDescent="0.2">
      <c r="A689" t="str">
        <f t="shared" si="10"/>
        <v>Southeast KS Health Department|Cleveland County Moore</v>
      </c>
      <c r="B689" t="s">
        <v>17</v>
      </c>
      <c r="C689" t="s">
        <v>33</v>
      </c>
      <c r="D689">
        <v>232</v>
      </c>
      <c r="E689">
        <v>255.20269999999999</v>
      </c>
    </row>
    <row r="690" spans="1:5" x14ac:dyDescent="0.2">
      <c r="A690" t="str">
        <f t="shared" si="10"/>
        <v>Southeast KS Health Department|Variety Care- Lafayette</v>
      </c>
      <c r="B690" t="s">
        <v>17</v>
      </c>
      <c r="C690" t="s">
        <v>32</v>
      </c>
      <c r="D690">
        <v>227.06666666666669</v>
      </c>
      <c r="E690">
        <v>249.96019999999999</v>
      </c>
    </row>
    <row r="691" spans="1:5" x14ac:dyDescent="0.2">
      <c r="A691" t="str">
        <f t="shared" si="10"/>
        <v>Southeast KS Health Department|Edmond Hope Center</v>
      </c>
      <c r="B691" t="s">
        <v>17</v>
      </c>
      <c r="C691" t="s">
        <v>31</v>
      </c>
      <c r="D691">
        <v>220.05</v>
      </c>
      <c r="E691">
        <v>252.84399999999999</v>
      </c>
    </row>
    <row r="692" spans="1:5" x14ac:dyDescent="0.2">
      <c r="A692" t="str">
        <f t="shared" si="10"/>
        <v>Southeast KS Health Department|Canadian Valley</v>
      </c>
      <c r="B692" t="s">
        <v>17</v>
      </c>
      <c r="C692" t="s">
        <v>30</v>
      </c>
      <c r="D692">
        <v>235.6166666666667</v>
      </c>
      <c r="E692">
        <v>262.53370000000001</v>
      </c>
    </row>
    <row r="693" spans="1:5" x14ac:dyDescent="0.2">
      <c r="A693" t="str">
        <f t="shared" si="10"/>
        <v>Southeast KS Health Department|St. Anthony Shawnee Hospital</v>
      </c>
      <c r="B693" t="s">
        <v>17</v>
      </c>
      <c r="C693" t="s">
        <v>29</v>
      </c>
      <c r="D693">
        <v>217.41666666666671</v>
      </c>
      <c r="E693">
        <v>229.3612</v>
      </c>
    </row>
    <row r="694" spans="1:5" x14ac:dyDescent="0.2">
      <c r="A694" t="str">
        <f t="shared" si="10"/>
        <v>Southeast KS Health Department|OU Children’s Hospital</v>
      </c>
      <c r="B694" t="s">
        <v>17</v>
      </c>
      <c r="C694" t="s">
        <v>28</v>
      </c>
      <c r="D694">
        <v>223.95</v>
      </c>
      <c r="E694">
        <v>245.12219999999999</v>
      </c>
    </row>
    <row r="695" spans="1:5" x14ac:dyDescent="0.2">
      <c r="A695" t="str">
        <f t="shared" si="10"/>
        <v>Southeast KS Health Department|OBI</v>
      </c>
      <c r="B695" t="s">
        <v>17</v>
      </c>
      <c r="C695" t="s">
        <v>27</v>
      </c>
      <c r="D695">
        <v>141.48333333333329</v>
      </c>
      <c r="E695">
        <v>142.9477</v>
      </c>
    </row>
    <row r="696" spans="1:5" x14ac:dyDescent="0.2">
      <c r="A696" t="str">
        <f t="shared" si="10"/>
        <v>Southeast KS Health Department|Tulsa Hillcrest Hospital</v>
      </c>
      <c r="B696" t="s">
        <v>17</v>
      </c>
      <c r="C696" t="s">
        <v>26</v>
      </c>
      <c r="D696">
        <v>137.9666666666667</v>
      </c>
      <c r="E696">
        <v>140.072</v>
      </c>
    </row>
    <row r="697" spans="1:5" x14ac:dyDescent="0.2">
      <c r="A697" t="str">
        <f t="shared" si="10"/>
        <v>Southeast KS Health Department|St. John Owasso</v>
      </c>
      <c r="B697" t="s">
        <v>17</v>
      </c>
      <c r="C697" t="s">
        <v>25</v>
      </c>
      <c r="D697">
        <v>122.55</v>
      </c>
      <c r="E697">
        <v>123.7734</v>
      </c>
    </row>
    <row r="698" spans="1:5" x14ac:dyDescent="0.2">
      <c r="A698" t="str">
        <f t="shared" si="10"/>
        <v>Southeast KS Health Department|Jane Phillips Medical Center</v>
      </c>
      <c r="B698" t="s">
        <v>17</v>
      </c>
      <c r="C698" t="s">
        <v>24</v>
      </c>
      <c r="D698">
        <v>102.3333333333333</v>
      </c>
      <c r="E698">
        <v>101.2183</v>
      </c>
    </row>
    <row r="699" spans="1:5" x14ac:dyDescent="0.2">
      <c r="A699" t="str">
        <f t="shared" si="10"/>
        <v>Southeast KS Health Department|YWCA South</v>
      </c>
      <c r="B699" t="s">
        <v>17</v>
      </c>
      <c r="C699" t="s">
        <v>23</v>
      </c>
      <c r="D699">
        <v>137.6</v>
      </c>
      <c r="E699">
        <v>141.3588</v>
      </c>
    </row>
    <row r="700" spans="1:5" x14ac:dyDescent="0.2">
      <c r="A700" t="str">
        <f t="shared" si="10"/>
        <v>Southeast KS Health Department|YWCA East</v>
      </c>
      <c r="B700" t="s">
        <v>17</v>
      </c>
      <c r="C700" t="s">
        <v>22</v>
      </c>
      <c r="D700">
        <v>134.3833333333333</v>
      </c>
      <c r="E700">
        <v>136.38849999999999</v>
      </c>
    </row>
    <row r="701" spans="1:5" x14ac:dyDescent="0.2">
      <c r="A701" t="str">
        <f t="shared" si="10"/>
        <v>Southeast KS Health Department|KUMC - University of Kansas Health System</v>
      </c>
      <c r="B701" t="s">
        <v>17</v>
      </c>
      <c r="C701" t="s">
        <v>21</v>
      </c>
      <c r="D701">
        <v>96.11666666666666</v>
      </c>
      <c r="E701">
        <v>100.4987</v>
      </c>
    </row>
    <row r="702" spans="1:5" x14ac:dyDescent="0.2">
      <c r="A702" t="str">
        <f t="shared" si="10"/>
        <v>Southeast KS Health Department|KUMC - Kansas Health Systems – St. Francis Campus</v>
      </c>
      <c r="B702" t="s">
        <v>17</v>
      </c>
      <c r="C702" t="s">
        <v>20</v>
      </c>
      <c r="D702">
        <v>103.85</v>
      </c>
      <c r="E702">
        <v>102.9482</v>
      </c>
    </row>
    <row r="703" spans="1:5" x14ac:dyDescent="0.2">
      <c r="A703" t="str">
        <f t="shared" si="10"/>
        <v>Southeast KS Health Department|Shawnee Mission MC</v>
      </c>
      <c r="B703" t="s">
        <v>17</v>
      </c>
      <c r="C703" t="s">
        <v>19</v>
      </c>
      <c r="D703">
        <v>87.733333333333334</v>
      </c>
      <c r="E703">
        <v>92.0642</v>
      </c>
    </row>
    <row r="704" spans="1:5" x14ac:dyDescent="0.2">
      <c r="A704" t="str">
        <f t="shared" si="10"/>
        <v>Southeast KS Health Department|Woven Leaf</v>
      </c>
      <c r="B704" t="s">
        <v>17</v>
      </c>
      <c r="C704" t="s">
        <v>18</v>
      </c>
      <c r="D704">
        <v>24.31666666666667</v>
      </c>
      <c r="E704">
        <v>21.005500000000001</v>
      </c>
    </row>
    <row r="705" spans="1:5" x14ac:dyDescent="0.2">
      <c r="A705" t="str">
        <f t="shared" si="10"/>
        <v>Southeast KS Health Department|Salina Regional</v>
      </c>
      <c r="B705" t="s">
        <v>17</v>
      </c>
      <c r="C705" t="s">
        <v>16</v>
      </c>
      <c r="D705">
        <v>171</v>
      </c>
      <c r="E705">
        <v>184.26509999999999</v>
      </c>
    </row>
    <row r="706" spans="1:5" x14ac:dyDescent="0.2">
      <c r="A706" t="str">
        <f t="shared" ref="A706:A769" si="11">CONCATENATE(B706,"|",C706)</f>
        <v>Southeast KS Health Department|Kansas Birth Justice Society</v>
      </c>
      <c r="B706" t="s">
        <v>17</v>
      </c>
      <c r="C706" t="s">
        <v>15</v>
      </c>
      <c r="D706">
        <v>109.3833333333333</v>
      </c>
      <c r="E706">
        <v>112.6763</v>
      </c>
    </row>
    <row r="707" spans="1:5" x14ac:dyDescent="0.2">
      <c r="A707" t="str">
        <f t="shared" si="11"/>
        <v>Southeast KS Health Department|Flint Hills- Riley County Health Department</v>
      </c>
      <c r="B707" t="s">
        <v>17</v>
      </c>
      <c r="C707" t="s">
        <v>14</v>
      </c>
      <c r="D707">
        <v>147.0333333333333</v>
      </c>
      <c r="E707">
        <v>157.49209999999999</v>
      </c>
    </row>
    <row r="708" spans="1:5" x14ac:dyDescent="0.2">
      <c r="A708" t="str">
        <f t="shared" si="11"/>
        <v>Southeast KS Health Department|Washington Regional Medical Center</v>
      </c>
      <c r="B708" t="s">
        <v>17</v>
      </c>
      <c r="C708" t="s">
        <v>13</v>
      </c>
      <c r="D708">
        <v>177.7</v>
      </c>
      <c r="E708">
        <v>186.4716</v>
      </c>
    </row>
    <row r="709" spans="1:5" x14ac:dyDescent="0.2">
      <c r="A709" t="str">
        <f t="shared" si="11"/>
        <v>Southeast KS Health Department|South Central Medical Center</v>
      </c>
      <c r="B709" t="s">
        <v>17</v>
      </c>
      <c r="C709" t="s">
        <v>12</v>
      </c>
      <c r="D709">
        <v>272.71666666666658</v>
      </c>
      <c r="E709">
        <v>296.86750000000001</v>
      </c>
    </row>
    <row r="710" spans="1:5" x14ac:dyDescent="0.2">
      <c r="A710" t="str">
        <f t="shared" si="11"/>
        <v>Southeast KS Health Department|Andrew County</v>
      </c>
      <c r="B710" t="s">
        <v>17</v>
      </c>
      <c r="C710" t="s">
        <v>11</v>
      </c>
      <c r="D710">
        <v>146.65</v>
      </c>
      <c r="E710">
        <v>161.70500000000001</v>
      </c>
    </row>
    <row r="711" spans="1:5" x14ac:dyDescent="0.2">
      <c r="A711" t="str">
        <f t="shared" si="11"/>
        <v>Southeast KS Health Department|Comanche County Memorial Hospital</v>
      </c>
      <c r="B711" t="s">
        <v>17</v>
      </c>
      <c r="C711" t="s">
        <v>10</v>
      </c>
      <c r="D711">
        <v>295.18333333333328</v>
      </c>
      <c r="E711">
        <v>333.77449999999999</v>
      </c>
    </row>
    <row r="712" spans="1:5" x14ac:dyDescent="0.2">
      <c r="A712" t="str">
        <f t="shared" si="11"/>
        <v>Southeast KS Health Department|Garfield County Health Department</v>
      </c>
      <c r="B712" t="s">
        <v>17</v>
      </c>
      <c r="C712" t="s">
        <v>9</v>
      </c>
      <c r="D712">
        <v>205.05</v>
      </c>
      <c r="E712">
        <v>230.51499999999999</v>
      </c>
    </row>
    <row r="713" spans="1:5" x14ac:dyDescent="0.2">
      <c r="A713" t="str">
        <f t="shared" si="11"/>
        <v>Southeast KS Health Department|Grady County</v>
      </c>
      <c r="B713" t="s">
        <v>17</v>
      </c>
      <c r="C713" t="s">
        <v>8</v>
      </c>
      <c r="D713">
        <v>260.45</v>
      </c>
      <c r="E713">
        <v>289.52229999999997</v>
      </c>
    </row>
    <row r="714" spans="1:5" x14ac:dyDescent="0.2">
      <c r="A714" t="str">
        <f t="shared" si="11"/>
        <v>Southeast KS Health Department|Beckham County</v>
      </c>
      <c r="B714" t="s">
        <v>17</v>
      </c>
      <c r="C714" t="s">
        <v>7</v>
      </c>
      <c r="D714">
        <v>313.03333333333342</v>
      </c>
      <c r="E714">
        <v>358.7629</v>
      </c>
    </row>
    <row r="715" spans="1:5" x14ac:dyDescent="0.2">
      <c r="A715" t="str">
        <f t="shared" si="11"/>
        <v>Southeast KS Health Department|Custer County</v>
      </c>
      <c r="B715" t="s">
        <v>17</v>
      </c>
      <c r="C715" t="s">
        <v>6</v>
      </c>
      <c r="D715">
        <v>293.93333333333328</v>
      </c>
      <c r="E715">
        <v>333.19099999999997</v>
      </c>
    </row>
    <row r="716" spans="1:5" x14ac:dyDescent="0.2">
      <c r="A716" t="str">
        <f t="shared" si="11"/>
        <v>Southeast KS Health Department|Pontotoc County</v>
      </c>
      <c r="B716" t="s">
        <v>17</v>
      </c>
      <c r="C716" t="s">
        <v>5</v>
      </c>
      <c r="D716">
        <v>250.41666666666671</v>
      </c>
      <c r="E716">
        <v>261.40710000000001</v>
      </c>
    </row>
    <row r="717" spans="1:5" x14ac:dyDescent="0.2">
      <c r="A717" t="str">
        <f t="shared" si="11"/>
        <v>Southeast KS Health Department|McIntosh County</v>
      </c>
      <c r="B717" t="s">
        <v>17</v>
      </c>
      <c r="C717" t="s">
        <v>4</v>
      </c>
      <c r="D717">
        <v>188.3666666666667</v>
      </c>
      <c r="E717">
        <v>197.73650000000001</v>
      </c>
    </row>
    <row r="718" spans="1:5" x14ac:dyDescent="0.2">
      <c r="A718" t="str">
        <f t="shared" si="11"/>
        <v>Southeast KS Health Department|Carter County Health Department</v>
      </c>
      <c r="B718" t="s">
        <v>17</v>
      </c>
      <c r="C718" t="s">
        <v>3</v>
      </c>
      <c r="D718">
        <v>303.8</v>
      </c>
      <c r="E718">
        <v>343.40140000000002</v>
      </c>
    </row>
    <row r="719" spans="1:5" x14ac:dyDescent="0.2">
      <c r="A719" t="str">
        <f t="shared" si="11"/>
        <v>Southeast KS Health Department|Jackson County Altus</v>
      </c>
      <c r="B719" t="s">
        <v>17</v>
      </c>
      <c r="C719" t="s">
        <v>2</v>
      </c>
      <c r="D719">
        <v>341.36666666666667</v>
      </c>
      <c r="E719">
        <v>385.41480000000001</v>
      </c>
    </row>
    <row r="720" spans="1:5" x14ac:dyDescent="0.2">
      <c r="A720" t="str">
        <f t="shared" si="11"/>
        <v>Southeast KS Health Department|Alliance Health Woodward</v>
      </c>
      <c r="B720" t="s">
        <v>17</v>
      </c>
      <c r="C720" t="s">
        <v>0</v>
      </c>
      <c r="D720">
        <v>282.25</v>
      </c>
      <c r="E720">
        <v>306.81760000000003</v>
      </c>
    </row>
    <row r="721" spans="1:5" x14ac:dyDescent="0.2">
      <c r="A721" t="str">
        <f t="shared" si="11"/>
        <v>Southeast KS Health Department|McAlester Regional Health</v>
      </c>
      <c r="B721" t="s">
        <v>17</v>
      </c>
      <c r="C721" t="s">
        <v>1</v>
      </c>
      <c r="D721">
        <v>221.8833333333333</v>
      </c>
      <c r="E721">
        <v>232.02440000000001</v>
      </c>
    </row>
    <row r="722" spans="1:5" x14ac:dyDescent="0.2">
      <c r="A722" t="str">
        <f t="shared" si="11"/>
        <v>Salina Regional|Oklahoma Mothers’ Milk Bank</v>
      </c>
      <c r="B722" t="s">
        <v>16</v>
      </c>
      <c r="C722" t="s">
        <v>36</v>
      </c>
      <c r="D722">
        <v>203.8666666666667</v>
      </c>
      <c r="E722">
        <v>245.87780000000001</v>
      </c>
    </row>
    <row r="723" spans="1:5" x14ac:dyDescent="0.2">
      <c r="A723" t="str">
        <f t="shared" si="11"/>
        <v>Salina Regional|Integris Southwest</v>
      </c>
      <c r="B723" t="s">
        <v>16</v>
      </c>
      <c r="C723" t="s">
        <v>35</v>
      </c>
      <c r="D723">
        <v>207.8</v>
      </c>
      <c r="E723">
        <v>250.8159</v>
      </c>
    </row>
    <row r="724" spans="1:5" x14ac:dyDescent="0.2">
      <c r="A724" t="str">
        <f t="shared" si="11"/>
        <v>Salina Regional|Integris Baptist</v>
      </c>
      <c r="B724" t="s">
        <v>16</v>
      </c>
      <c r="C724" t="s">
        <v>34</v>
      </c>
      <c r="D724">
        <v>204.25</v>
      </c>
      <c r="E724">
        <v>246.57560000000001</v>
      </c>
    </row>
    <row r="725" spans="1:5" x14ac:dyDescent="0.2">
      <c r="A725" t="str">
        <f t="shared" si="11"/>
        <v>Salina Regional|Cleveland County Moore</v>
      </c>
      <c r="B725" t="s">
        <v>16</v>
      </c>
      <c r="C725" t="s">
        <v>33</v>
      </c>
      <c r="D725">
        <v>214.45</v>
      </c>
      <c r="E725">
        <v>254.01650000000001</v>
      </c>
    </row>
    <row r="726" spans="1:5" x14ac:dyDescent="0.2">
      <c r="A726" t="str">
        <f t="shared" si="11"/>
        <v>Salina Regional|Variety Care- Lafayette</v>
      </c>
      <c r="B726" t="s">
        <v>16</v>
      </c>
      <c r="C726" t="s">
        <v>32</v>
      </c>
      <c r="D726">
        <v>208.1166666666667</v>
      </c>
      <c r="E726">
        <v>250.8929</v>
      </c>
    </row>
    <row r="727" spans="1:5" x14ac:dyDescent="0.2">
      <c r="A727" t="str">
        <f t="shared" si="11"/>
        <v>Salina Regional|Edmond Hope Center</v>
      </c>
      <c r="B727" t="s">
        <v>16</v>
      </c>
      <c r="C727" t="s">
        <v>31</v>
      </c>
      <c r="D727">
        <v>193.5</v>
      </c>
      <c r="E727">
        <v>233.62309999999999</v>
      </c>
    </row>
    <row r="728" spans="1:5" x14ac:dyDescent="0.2">
      <c r="A728" t="str">
        <f t="shared" si="11"/>
        <v>Salina Regional|Canadian Valley</v>
      </c>
      <c r="B728" t="s">
        <v>16</v>
      </c>
      <c r="C728" t="s">
        <v>30</v>
      </c>
      <c r="D728">
        <v>216.73333333333329</v>
      </c>
      <c r="E728">
        <v>263.3116</v>
      </c>
    </row>
    <row r="729" spans="1:5" x14ac:dyDescent="0.2">
      <c r="A729" t="str">
        <f t="shared" si="11"/>
        <v>Salina Regional|St. Anthony Shawnee Hospital</v>
      </c>
      <c r="B729" t="s">
        <v>16</v>
      </c>
      <c r="C729" t="s">
        <v>29</v>
      </c>
      <c r="D729">
        <v>231.9666666666667</v>
      </c>
      <c r="E729">
        <v>278.45569999999998</v>
      </c>
    </row>
    <row r="730" spans="1:5" x14ac:dyDescent="0.2">
      <c r="A730" t="str">
        <f t="shared" si="11"/>
        <v>Salina Regional|OU Children’s Hospital</v>
      </c>
      <c r="B730" t="s">
        <v>16</v>
      </c>
      <c r="C730" t="s">
        <v>28</v>
      </c>
      <c r="D730">
        <v>205</v>
      </c>
      <c r="E730">
        <v>246.0549</v>
      </c>
    </row>
    <row r="731" spans="1:5" x14ac:dyDescent="0.2">
      <c r="A731" t="str">
        <f t="shared" si="11"/>
        <v>Salina Regional|OBI</v>
      </c>
      <c r="B731" t="s">
        <v>16</v>
      </c>
      <c r="C731" t="s">
        <v>27</v>
      </c>
      <c r="D731">
        <v>229.51666666666671</v>
      </c>
      <c r="E731">
        <v>274.48079999999999</v>
      </c>
    </row>
    <row r="732" spans="1:5" x14ac:dyDescent="0.2">
      <c r="A732" t="str">
        <f t="shared" si="11"/>
        <v>Salina Regional|Tulsa Hillcrest Hospital</v>
      </c>
      <c r="B732" t="s">
        <v>16</v>
      </c>
      <c r="C732" t="s">
        <v>26</v>
      </c>
      <c r="D732">
        <v>220.6</v>
      </c>
      <c r="E732">
        <v>265.35969999999998</v>
      </c>
    </row>
    <row r="733" spans="1:5" x14ac:dyDescent="0.2">
      <c r="A733" t="str">
        <f t="shared" si="11"/>
        <v>Salina Regional|St. John Owasso</v>
      </c>
      <c r="B733" t="s">
        <v>16</v>
      </c>
      <c r="C733" t="s">
        <v>25</v>
      </c>
      <c r="D733">
        <v>233.56666666666669</v>
      </c>
      <c r="E733">
        <v>280.65530000000001</v>
      </c>
    </row>
    <row r="734" spans="1:5" x14ac:dyDescent="0.2">
      <c r="A734" t="str">
        <f t="shared" si="11"/>
        <v>Salina Regional|Jane Phillips Medical Center</v>
      </c>
      <c r="B734" t="s">
        <v>16</v>
      </c>
      <c r="C734" t="s">
        <v>24</v>
      </c>
      <c r="D734">
        <v>205.33333333333329</v>
      </c>
      <c r="E734">
        <v>221.3169</v>
      </c>
    </row>
    <row r="735" spans="1:5" x14ac:dyDescent="0.2">
      <c r="A735" t="str">
        <f t="shared" si="11"/>
        <v>Salina Regional|YWCA South</v>
      </c>
      <c r="B735" t="s">
        <v>16</v>
      </c>
      <c r="C735" t="s">
        <v>23</v>
      </c>
      <c r="D735">
        <v>219.6333333333333</v>
      </c>
      <c r="E735">
        <v>266.02890000000002</v>
      </c>
    </row>
    <row r="736" spans="1:5" x14ac:dyDescent="0.2">
      <c r="A736" t="str">
        <f t="shared" si="11"/>
        <v>Salina Regional|YWCA East</v>
      </c>
      <c r="B736" t="s">
        <v>16</v>
      </c>
      <c r="C736" t="s">
        <v>22</v>
      </c>
      <c r="D736">
        <v>224.95</v>
      </c>
      <c r="E736">
        <v>270.7072</v>
      </c>
    </row>
    <row r="737" spans="1:5" x14ac:dyDescent="0.2">
      <c r="A737" t="str">
        <f t="shared" si="11"/>
        <v>Salina Regional|KUMC - University of Kansas Health System</v>
      </c>
      <c r="B737" t="s">
        <v>16</v>
      </c>
      <c r="C737" t="s">
        <v>21</v>
      </c>
      <c r="D737">
        <v>149.16666666666671</v>
      </c>
      <c r="E737">
        <v>175.91139999999999</v>
      </c>
    </row>
    <row r="738" spans="1:5" x14ac:dyDescent="0.2">
      <c r="A738" t="str">
        <f t="shared" si="11"/>
        <v>Salina Regional|KUMC - Kansas Health Systems – St. Francis Campus</v>
      </c>
      <c r="B738" t="s">
        <v>16</v>
      </c>
      <c r="C738" t="s">
        <v>20</v>
      </c>
      <c r="D738">
        <v>95.433333333333337</v>
      </c>
      <c r="E738">
        <v>112.3017</v>
      </c>
    </row>
    <row r="739" spans="1:5" x14ac:dyDescent="0.2">
      <c r="A739" t="str">
        <f t="shared" si="11"/>
        <v>Salina Regional|Shawnee Mission MC</v>
      </c>
      <c r="B739" t="s">
        <v>16</v>
      </c>
      <c r="C739" t="s">
        <v>19</v>
      </c>
      <c r="D739">
        <v>148.69999999999999</v>
      </c>
      <c r="E739">
        <v>174.7159</v>
      </c>
    </row>
    <row r="740" spans="1:5" x14ac:dyDescent="0.2">
      <c r="A740" t="str">
        <f t="shared" si="11"/>
        <v>Salina Regional|Woven Leaf</v>
      </c>
      <c r="B740" t="s">
        <v>16</v>
      </c>
      <c r="C740" t="s">
        <v>18</v>
      </c>
      <c r="D740">
        <v>173.7833333333333</v>
      </c>
      <c r="E740">
        <v>195.20750000000001</v>
      </c>
    </row>
    <row r="741" spans="1:5" x14ac:dyDescent="0.2">
      <c r="A741" t="str">
        <f t="shared" si="11"/>
        <v>Salina Regional|Southeast KS Health Department</v>
      </c>
      <c r="B741" t="s">
        <v>16</v>
      </c>
      <c r="C741" t="s">
        <v>17</v>
      </c>
      <c r="D741">
        <v>168.01666666666671</v>
      </c>
      <c r="E741">
        <v>183.96690000000001</v>
      </c>
    </row>
    <row r="742" spans="1:5" x14ac:dyDescent="0.2">
      <c r="A742" t="str">
        <f t="shared" si="11"/>
        <v>Salina Regional|Kansas Birth Justice Society</v>
      </c>
      <c r="B742" t="s">
        <v>16</v>
      </c>
      <c r="C742" t="s">
        <v>15</v>
      </c>
      <c r="D742">
        <v>78.2</v>
      </c>
      <c r="E742">
        <v>89.555099999999996</v>
      </c>
    </row>
    <row r="743" spans="1:5" x14ac:dyDescent="0.2">
      <c r="A743" t="str">
        <f t="shared" si="11"/>
        <v>Salina Regional|Flint Hills- Riley County Health Department</v>
      </c>
      <c r="B743" t="s">
        <v>16</v>
      </c>
      <c r="C743" t="s">
        <v>14</v>
      </c>
      <c r="D743">
        <v>64.95</v>
      </c>
      <c r="E743">
        <v>68.624899999999997</v>
      </c>
    </row>
    <row r="744" spans="1:5" x14ac:dyDescent="0.2">
      <c r="A744" t="str">
        <f t="shared" si="11"/>
        <v>Salina Regional|Washington Regional Medical Center</v>
      </c>
      <c r="B744" t="s">
        <v>16</v>
      </c>
      <c r="C744" t="s">
        <v>13</v>
      </c>
      <c r="D744">
        <v>316.13333333333333</v>
      </c>
      <c r="E744">
        <v>356.06810000000002</v>
      </c>
    </row>
    <row r="745" spans="1:5" x14ac:dyDescent="0.2">
      <c r="A745" t="str">
        <f t="shared" si="11"/>
        <v>Salina Regional|South Central Medical Center</v>
      </c>
      <c r="B745" t="s">
        <v>16</v>
      </c>
      <c r="C745" t="s">
        <v>12</v>
      </c>
      <c r="D745">
        <v>253.76666666666671</v>
      </c>
      <c r="E745">
        <v>297.80020000000002</v>
      </c>
    </row>
    <row r="746" spans="1:5" x14ac:dyDescent="0.2">
      <c r="A746" t="str">
        <f t="shared" si="11"/>
        <v>Salina Regional|Andrew County</v>
      </c>
      <c r="B746" t="s">
        <v>16</v>
      </c>
      <c r="C746" t="s">
        <v>11</v>
      </c>
      <c r="D746">
        <v>187.43333333333331</v>
      </c>
      <c r="E746">
        <v>202.6403</v>
      </c>
    </row>
    <row r="747" spans="1:5" x14ac:dyDescent="0.2">
      <c r="A747" t="str">
        <f t="shared" si="11"/>
        <v>Salina Regional|Comanche County Memorial Hospital</v>
      </c>
      <c r="B747" t="s">
        <v>16</v>
      </c>
      <c r="C747" t="s">
        <v>10</v>
      </c>
      <c r="D747">
        <v>276.23333333333329</v>
      </c>
      <c r="E747">
        <v>334.7072</v>
      </c>
    </row>
    <row r="748" spans="1:5" x14ac:dyDescent="0.2">
      <c r="A748" t="str">
        <f t="shared" si="11"/>
        <v>Salina Regional|Garfield County Health Department</v>
      </c>
      <c r="B748" t="s">
        <v>16</v>
      </c>
      <c r="C748" t="s">
        <v>9</v>
      </c>
      <c r="D748">
        <v>178.5</v>
      </c>
      <c r="E748">
        <v>211.29419999999999</v>
      </c>
    </row>
    <row r="749" spans="1:5" x14ac:dyDescent="0.2">
      <c r="A749" t="str">
        <f t="shared" si="11"/>
        <v>Salina Regional|Grady County</v>
      </c>
      <c r="B749" t="s">
        <v>16</v>
      </c>
      <c r="C749" t="s">
        <v>8</v>
      </c>
      <c r="D749">
        <v>241.48333333333329</v>
      </c>
      <c r="E749">
        <v>290.45249999999999</v>
      </c>
    </row>
    <row r="750" spans="1:5" x14ac:dyDescent="0.2">
      <c r="A750" t="str">
        <f t="shared" si="11"/>
        <v>Salina Regional|Beckham County</v>
      </c>
      <c r="B750" t="s">
        <v>16</v>
      </c>
      <c r="C750" t="s">
        <v>7</v>
      </c>
      <c r="D750">
        <v>294.14999999999998</v>
      </c>
      <c r="E750">
        <v>359.54090000000002</v>
      </c>
    </row>
    <row r="751" spans="1:5" x14ac:dyDescent="0.2">
      <c r="A751" t="str">
        <f t="shared" si="11"/>
        <v>Salina Regional|Custer County</v>
      </c>
      <c r="B751" t="s">
        <v>16</v>
      </c>
      <c r="C751" t="s">
        <v>6</v>
      </c>
      <c r="D751">
        <v>275.05</v>
      </c>
      <c r="E751">
        <v>333.96899999999999</v>
      </c>
    </row>
    <row r="752" spans="1:5" x14ac:dyDescent="0.2">
      <c r="A752" t="str">
        <f t="shared" si="11"/>
        <v>Salina Regional|Pontotoc County</v>
      </c>
      <c r="B752" t="s">
        <v>16</v>
      </c>
      <c r="C752" t="s">
        <v>5</v>
      </c>
      <c r="D752">
        <v>279.26666666666671</v>
      </c>
      <c r="E752">
        <v>326.76420000000002</v>
      </c>
    </row>
    <row r="753" spans="1:5" x14ac:dyDescent="0.2">
      <c r="A753" t="str">
        <f t="shared" si="11"/>
        <v>Salina Regional|McIntosh County</v>
      </c>
      <c r="B753" t="s">
        <v>16</v>
      </c>
      <c r="C753" t="s">
        <v>4</v>
      </c>
      <c r="D753">
        <v>279.66666666666669</v>
      </c>
      <c r="E753">
        <v>332.07260000000002</v>
      </c>
    </row>
    <row r="754" spans="1:5" x14ac:dyDescent="0.2">
      <c r="A754" t="str">
        <f t="shared" si="11"/>
        <v>Salina Regional|Carter County Health Department</v>
      </c>
      <c r="B754" t="s">
        <v>16</v>
      </c>
      <c r="C754" t="s">
        <v>3</v>
      </c>
      <c r="D754">
        <v>284.85000000000002</v>
      </c>
      <c r="E754">
        <v>344.33409999999998</v>
      </c>
    </row>
    <row r="755" spans="1:5" x14ac:dyDescent="0.2">
      <c r="A755" t="str">
        <f t="shared" si="11"/>
        <v>Salina Regional|Jackson County Altus</v>
      </c>
      <c r="B755" t="s">
        <v>16</v>
      </c>
      <c r="C755" t="s">
        <v>2</v>
      </c>
      <c r="D755">
        <v>322.41666666666669</v>
      </c>
      <c r="E755">
        <v>386.34750000000003</v>
      </c>
    </row>
    <row r="756" spans="1:5" x14ac:dyDescent="0.2">
      <c r="A756" t="str">
        <f t="shared" si="11"/>
        <v>Salina Regional|Alliance Health Woodward</v>
      </c>
      <c r="B756" t="s">
        <v>16</v>
      </c>
      <c r="C756" t="s">
        <v>0</v>
      </c>
      <c r="D756">
        <v>222.08333333333329</v>
      </c>
      <c r="E756">
        <v>238.66059999999999</v>
      </c>
    </row>
    <row r="757" spans="1:5" x14ac:dyDescent="0.2">
      <c r="A757" t="str">
        <f t="shared" si="11"/>
        <v>Salina Regional|McAlester Regional Health</v>
      </c>
      <c r="B757" t="s">
        <v>16</v>
      </c>
      <c r="C757" t="s">
        <v>1</v>
      </c>
      <c r="D757">
        <v>300.98333333333329</v>
      </c>
      <c r="E757">
        <v>353.67020000000002</v>
      </c>
    </row>
    <row r="758" spans="1:5" x14ac:dyDescent="0.2">
      <c r="A758" t="str">
        <f t="shared" si="11"/>
        <v>Kansas Birth Justice Society|Oklahoma Mothers’ Milk Bank</v>
      </c>
      <c r="B758" t="s">
        <v>15</v>
      </c>
      <c r="C758" t="s">
        <v>36</v>
      </c>
      <c r="D758">
        <v>133.65</v>
      </c>
      <c r="E758">
        <v>158.9847</v>
      </c>
    </row>
    <row r="759" spans="1:5" x14ac:dyDescent="0.2">
      <c r="A759" t="str">
        <f t="shared" si="11"/>
        <v>Kansas Birth Justice Society|Integris Southwest</v>
      </c>
      <c r="B759" t="s">
        <v>15</v>
      </c>
      <c r="C759" t="s">
        <v>35</v>
      </c>
      <c r="D759">
        <v>137.58333333333329</v>
      </c>
      <c r="E759">
        <v>163.92269999999999</v>
      </c>
    </row>
    <row r="760" spans="1:5" x14ac:dyDescent="0.2">
      <c r="A760" t="str">
        <f t="shared" si="11"/>
        <v>Kansas Birth Justice Society|Integris Baptist</v>
      </c>
      <c r="B760" t="s">
        <v>15</v>
      </c>
      <c r="C760" t="s">
        <v>34</v>
      </c>
      <c r="D760">
        <v>134.0333333333333</v>
      </c>
      <c r="E760">
        <v>159.6825</v>
      </c>
    </row>
    <row r="761" spans="1:5" x14ac:dyDescent="0.2">
      <c r="A761" t="str">
        <f t="shared" si="11"/>
        <v>Kansas Birth Justice Society|Cleveland County Moore</v>
      </c>
      <c r="B761" t="s">
        <v>15</v>
      </c>
      <c r="C761" t="s">
        <v>33</v>
      </c>
      <c r="D761">
        <v>144.23333333333329</v>
      </c>
      <c r="E761">
        <v>167.1234</v>
      </c>
    </row>
    <row r="762" spans="1:5" x14ac:dyDescent="0.2">
      <c r="A762" t="str">
        <f t="shared" si="11"/>
        <v>Kansas Birth Justice Society|Variety Care- Lafayette</v>
      </c>
      <c r="B762" t="s">
        <v>15</v>
      </c>
      <c r="C762" t="s">
        <v>32</v>
      </c>
      <c r="D762">
        <v>139.31666666666669</v>
      </c>
      <c r="E762">
        <v>164.05879999999999</v>
      </c>
    </row>
    <row r="763" spans="1:5" x14ac:dyDescent="0.2">
      <c r="A763" t="str">
        <f t="shared" si="11"/>
        <v>Kansas Birth Justice Society|Edmond Hope Center</v>
      </c>
      <c r="B763" t="s">
        <v>15</v>
      </c>
      <c r="C763" t="s">
        <v>31</v>
      </c>
      <c r="D763">
        <v>123.48333333333331</v>
      </c>
      <c r="E763">
        <v>146.83250000000001</v>
      </c>
    </row>
    <row r="764" spans="1:5" x14ac:dyDescent="0.2">
      <c r="A764" t="str">
        <f t="shared" si="11"/>
        <v>Kansas Birth Justice Society|Canadian Valley</v>
      </c>
      <c r="B764" t="s">
        <v>15</v>
      </c>
      <c r="C764" t="s">
        <v>30</v>
      </c>
      <c r="D764">
        <v>146.51666666666671</v>
      </c>
      <c r="E764">
        <v>176.41849999999999</v>
      </c>
    </row>
    <row r="765" spans="1:5" x14ac:dyDescent="0.2">
      <c r="A765" t="str">
        <f t="shared" si="11"/>
        <v>Kansas Birth Justice Society|St. Anthony Shawnee Hospital</v>
      </c>
      <c r="B765" t="s">
        <v>15</v>
      </c>
      <c r="C765" t="s">
        <v>29</v>
      </c>
      <c r="D765">
        <v>161.75</v>
      </c>
      <c r="E765">
        <v>191.5625</v>
      </c>
    </row>
    <row r="766" spans="1:5" x14ac:dyDescent="0.2">
      <c r="A766" t="str">
        <f t="shared" si="11"/>
        <v>Kansas Birth Justice Society|OU Children’s Hospital</v>
      </c>
      <c r="B766" t="s">
        <v>15</v>
      </c>
      <c r="C766" t="s">
        <v>28</v>
      </c>
      <c r="D766">
        <v>135.1</v>
      </c>
      <c r="E766">
        <v>159.12690000000001</v>
      </c>
    </row>
    <row r="767" spans="1:5" x14ac:dyDescent="0.2">
      <c r="A767" t="str">
        <f t="shared" si="11"/>
        <v>Kansas Birth Justice Society|OBI</v>
      </c>
      <c r="B767" t="s">
        <v>15</v>
      </c>
      <c r="C767" t="s">
        <v>27</v>
      </c>
      <c r="D767">
        <v>159.30000000000001</v>
      </c>
      <c r="E767">
        <v>187.58760000000001</v>
      </c>
    </row>
    <row r="768" spans="1:5" x14ac:dyDescent="0.2">
      <c r="A768" t="str">
        <f t="shared" si="11"/>
        <v>Kansas Birth Justice Society|Tulsa Hillcrest Hospital</v>
      </c>
      <c r="B768" t="s">
        <v>15</v>
      </c>
      <c r="C768" t="s">
        <v>26</v>
      </c>
      <c r="D768">
        <v>150.3833333333333</v>
      </c>
      <c r="E768">
        <v>178.4665</v>
      </c>
    </row>
    <row r="769" spans="1:5" x14ac:dyDescent="0.2">
      <c r="A769" t="str">
        <f t="shared" si="11"/>
        <v>Kansas Birth Justice Society|St. John Owasso</v>
      </c>
      <c r="B769" t="s">
        <v>15</v>
      </c>
      <c r="C769" t="s">
        <v>25</v>
      </c>
      <c r="D769">
        <v>163.35</v>
      </c>
      <c r="E769">
        <v>193.76220000000001</v>
      </c>
    </row>
    <row r="770" spans="1:5" x14ac:dyDescent="0.2">
      <c r="A770" t="str">
        <f t="shared" ref="A770:A833" si="12">CONCATENATE(B770,"|",C770)</f>
        <v>Kansas Birth Justice Society|Jane Phillips Medical Center</v>
      </c>
      <c r="B770" t="s">
        <v>15</v>
      </c>
      <c r="C770" t="s">
        <v>24</v>
      </c>
      <c r="D770">
        <v>135.1166666666667</v>
      </c>
      <c r="E770">
        <v>134.4237</v>
      </c>
    </row>
    <row r="771" spans="1:5" x14ac:dyDescent="0.2">
      <c r="A771" t="str">
        <f t="shared" si="12"/>
        <v>Kansas Birth Justice Society|YWCA South</v>
      </c>
      <c r="B771" t="s">
        <v>15</v>
      </c>
      <c r="C771" t="s">
        <v>23</v>
      </c>
      <c r="D771">
        <v>149.41666666666671</v>
      </c>
      <c r="E771">
        <v>179.13570000000001</v>
      </c>
    </row>
    <row r="772" spans="1:5" x14ac:dyDescent="0.2">
      <c r="A772" t="str">
        <f t="shared" si="12"/>
        <v>Kansas Birth Justice Society|YWCA East</v>
      </c>
      <c r="B772" t="s">
        <v>15</v>
      </c>
      <c r="C772" t="s">
        <v>22</v>
      </c>
      <c r="D772">
        <v>154.73333333333329</v>
      </c>
      <c r="E772">
        <v>183.81399999999999</v>
      </c>
    </row>
    <row r="773" spans="1:5" x14ac:dyDescent="0.2">
      <c r="A773" t="str">
        <f t="shared" si="12"/>
        <v>Kansas Birth Justice Society|KUMC - University of Kansas Health System</v>
      </c>
      <c r="B773" t="s">
        <v>15</v>
      </c>
      <c r="C773" t="s">
        <v>21</v>
      </c>
      <c r="D773">
        <v>160.8666666666667</v>
      </c>
      <c r="E773">
        <v>193.34829999999999</v>
      </c>
    </row>
    <row r="774" spans="1:5" x14ac:dyDescent="0.2">
      <c r="A774" t="str">
        <f t="shared" si="12"/>
        <v>Kansas Birth Justice Society|KUMC - Kansas Health Systems – St. Francis Campus</v>
      </c>
      <c r="B774" t="s">
        <v>15</v>
      </c>
      <c r="C774" t="s">
        <v>20</v>
      </c>
      <c r="D774">
        <v>120.4</v>
      </c>
      <c r="E774">
        <v>139.7843</v>
      </c>
    </row>
    <row r="775" spans="1:5" x14ac:dyDescent="0.2">
      <c r="A775" t="str">
        <f t="shared" si="12"/>
        <v>Kansas Birth Justice Society|Shawnee Mission MC</v>
      </c>
      <c r="B775" t="s">
        <v>15</v>
      </c>
      <c r="C775" t="s">
        <v>19</v>
      </c>
      <c r="D775">
        <v>152.48333333333329</v>
      </c>
      <c r="E775">
        <v>184.91390000000001</v>
      </c>
    </row>
    <row r="776" spans="1:5" x14ac:dyDescent="0.2">
      <c r="A776" t="str">
        <f t="shared" si="12"/>
        <v>Kansas Birth Justice Society|Woven Leaf</v>
      </c>
      <c r="B776" t="s">
        <v>15</v>
      </c>
      <c r="C776" t="s">
        <v>18</v>
      </c>
      <c r="D776">
        <v>104.5</v>
      </c>
      <c r="E776">
        <v>109.288</v>
      </c>
    </row>
    <row r="777" spans="1:5" x14ac:dyDescent="0.2">
      <c r="A777" t="str">
        <f t="shared" si="12"/>
        <v>Kansas Birth Justice Society|Southeast KS Health Department</v>
      </c>
      <c r="B777" t="s">
        <v>15</v>
      </c>
      <c r="C777" t="s">
        <v>17</v>
      </c>
      <c r="D777">
        <v>109.2166666666667</v>
      </c>
      <c r="E777">
        <v>112.8783</v>
      </c>
    </row>
    <row r="778" spans="1:5" x14ac:dyDescent="0.2">
      <c r="A778" t="str">
        <f t="shared" si="12"/>
        <v>Kansas Birth Justice Society|Salina Regional</v>
      </c>
      <c r="B778" t="s">
        <v>15</v>
      </c>
      <c r="C778" t="s">
        <v>16</v>
      </c>
      <c r="D778">
        <v>81.349999999999994</v>
      </c>
      <c r="E778">
        <v>90.150400000000005</v>
      </c>
    </row>
    <row r="779" spans="1:5" x14ac:dyDescent="0.2">
      <c r="A779" t="str">
        <f t="shared" si="12"/>
        <v>Kansas Birth Justice Society|Flint Hills- Riley County Health Department</v>
      </c>
      <c r="B779" t="s">
        <v>15</v>
      </c>
      <c r="C779" t="s">
        <v>14</v>
      </c>
      <c r="D779">
        <v>124.7166666666667</v>
      </c>
      <c r="E779">
        <v>131.34540000000001</v>
      </c>
    </row>
    <row r="780" spans="1:5" x14ac:dyDescent="0.2">
      <c r="A780" t="str">
        <f t="shared" si="12"/>
        <v>Kansas Birth Justice Society|Washington Regional Medical Center</v>
      </c>
      <c r="B780" t="s">
        <v>15</v>
      </c>
      <c r="C780" t="s">
        <v>13</v>
      </c>
      <c r="D780">
        <v>246.85</v>
      </c>
      <c r="E780">
        <v>270.14859999999999</v>
      </c>
    </row>
    <row r="781" spans="1:5" x14ac:dyDescent="0.2">
      <c r="A781" t="str">
        <f t="shared" si="12"/>
        <v>Kansas Birth Justice Society|South Central Medical Center</v>
      </c>
      <c r="B781" t="s">
        <v>15</v>
      </c>
      <c r="C781" t="s">
        <v>12</v>
      </c>
      <c r="D781">
        <v>186.65</v>
      </c>
      <c r="E781">
        <v>211.7534</v>
      </c>
    </row>
    <row r="782" spans="1:5" x14ac:dyDescent="0.2">
      <c r="A782" t="str">
        <f t="shared" si="12"/>
        <v>Kansas Birth Justice Society|Andrew County</v>
      </c>
      <c r="B782" t="s">
        <v>15</v>
      </c>
      <c r="C782" t="s">
        <v>11</v>
      </c>
      <c r="D782">
        <v>203.3</v>
      </c>
      <c r="E782">
        <v>247.0429</v>
      </c>
    </row>
    <row r="783" spans="1:5" x14ac:dyDescent="0.2">
      <c r="A783" t="str">
        <f t="shared" si="12"/>
        <v>Kansas Birth Justice Society|Comanche County Memorial Hospital</v>
      </c>
      <c r="B783" t="s">
        <v>15</v>
      </c>
      <c r="C783" t="s">
        <v>10</v>
      </c>
      <c r="D783">
        <v>206.6166666666667</v>
      </c>
      <c r="E783">
        <v>248.3229</v>
      </c>
    </row>
    <row r="784" spans="1:5" x14ac:dyDescent="0.2">
      <c r="A784" t="str">
        <f t="shared" si="12"/>
        <v>Kansas Birth Justice Society|Garfield County Health Department</v>
      </c>
      <c r="B784" t="s">
        <v>15</v>
      </c>
      <c r="C784" t="s">
        <v>9</v>
      </c>
      <c r="D784">
        <v>108.2833333333333</v>
      </c>
      <c r="E784">
        <v>124.401</v>
      </c>
    </row>
    <row r="785" spans="1:5" x14ac:dyDescent="0.2">
      <c r="A785" t="str">
        <f t="shared" si="12"/>
        <v>Kansas Birth Justice Society|Grady County</v>
      </c>
      <c r="B785" t="s">
        <v>15</v>
      </c>
      <c r="C785" t="s">
        <v>8</v>
      </c>
      <c r="D785">
        <v>171.8666666666667</v>
      </c>
      <c r="E785">
        <v>204.06819999999999</v>
      </c>
    </row>
    <row r="786" spans="1:5" x14ac:dyDescent="0.2">
      <c r="A786" t="str">
        <f t="shared" si="12"/>
        <v>Kansas Birth Justice Society|Beckham County</v>
      </c>
      <c r="B786" t="s">
        <v>15</v>
      </c>
      <c r="C786" t="s">
        <v>7</v>
      </c>
      <c r="D786">
        <v>223.93333333333331</v>
      </c>
      <c r="E786">
        <v>272.64769999999999</v>
      </c>
    </row>
    <row r="787" spans="1:5" x14ac:dyDescent="0.2">
      <c r="A787" t="str">
        <f t="shared" si="12"/>
        <v>Kansas Birth Justice Society|Custer County</v>
      </c>
      <c r="B787" t="s">
        <v>15</v>
      </c>
      <c r="C787" t="s">
        <v>6</v>
      </c>
      <c r="D787">
        <v>204.83333333333329</v>
      </c>
      <c r="E787">
        <v>247.07579999999999</v>
      </c>
    </row>
    <row r="788" spans="1:5" x14ac:dyDescent="0.2">
      <c r="A788" t="str">
        <f t="shared" si="12"/>
        <v>Kansas Birth Justice Society|Pontotoc County</v>
      </c>
      <c r="B788" t="s">
        <v>15</v>
      </c>
      <c r="C788" t="s">
        <v>5</v>
      </c>
      <c r="D788">
        <v>208.48333333333329</v>
      </c>
      <c r="E788">
        <v>240.66200000000001</v>
      </c>
    </row>
    <row r="789" spans="1:5" x14ac:dyDescent="0.2">
      <c r="A789" t="str">
        <f t="shared" si="12"/>
        <v>Kansas Birth Justice Society|McIntosh County</v>
      </c>
      <c r="B789" t="s">
        <v>15</v>
      </c>
      <c r="C789" t="s">
        <v>4</v>
      </c>
      <c r="D789">
        <v>209.45</v>
      </c>
      <c r="E789">
        <v>245.17939999999999</v>
      </c>
    </row>
    <row r="790" spans="1:5" x14ac:dyDescent="0.2">
      <c r="A790" t="str">
        <f t="shared" si="12"/>
        <v>Kansas Birth Justice Society|Carter County Health Department</v>
      </c>
      <c r="B790" t="s">
        <v>15</v>
      </c>
      <c r="C790" t="s">
        <v>3</v>
      </c>
      <c r="D790">
        <v>221.06666666666669</v>
      </c>
      <c r="E790">
        <v>257.51609999999999</v>
      </c>
    </row>
    <row r="791" spans="1:5" x14ac:dyDescent="0.2">
      <c r="A791" t="str">
        <f t="shared" si="12"/>
        <v>Kansas Birth Justice Society|Jackson County Altus</v>
      </c>
      <c r="B791" t="s">
        <v>15</v>
      </c>
      <c r="C791" t="s">
        <v>2</v>
      </c>
      <c r="D791">
        <v>252.8</v>
      </c>
      <c r="E791">
        <v>299.96319999999997</v>
      </c>
    </row>
    <row r="792" spans="1:5" x14ac:dyDescent="0.2">
      <c r="A792" t="str">
        <f t="shared" si="12"/>
        <v>Kansas Birth Justice Society|Alliance Health Woodward</v>
      </c>
      <c r="B792" t="s">
        <v>15</v>
      </c>
      <c r="C792" t="s">
        <v>0</v>
      </c>
      <c r="D792">
        <v>178.2166666666667</v>
      </c>
      <c r="E792">
        <v>178.98779999999999</v>
      </c>
    </row>
    <row r="793" spans="1:5" x14ac:dyDescent="0.2">
      <c r="A793" t="str">
        <f t="shared" si="12"/>
        <v>Kansas Birth Justice Society|McAlester Regional Health</v>
      </c>
      <c r="B793" t="s">
        <v>15</v>
      </c>
      <c r="C793" t="s">
        <v>1</v>
      </c>
      <c r="D793">
        <v>230.76666666666671</v>
      </c>
      <c r="E793">
        <v>266.77699999999999</v>
      </c>
    </row>
    <row r="794" spans="1:5" x14ac:dyDescent="0.2">
      <c r="A794" t="str">
        <f t="shared" si="12"/>
        <v>Flint Hills- Riley County Health Department|Oklahoma Mothers’ Milk Bank</v>
      </c>
      <c r="B794" t="s">
        <v>14</v>
      </c>
      <c r="C794" t="s">
        <v>36</v>
      </c>
      <c r="D794">
        <v>249.3</v>
      </c>
      <c r="E794">
        <v>289.50240000000002</v>
      </c>
    </row>
    <row r="795" spans="1:5" x14ac:dyDescent="0.2">
      <c r="A795" t="str">
        <f t="shared" si="12"/>
        <v>Flint Hills- Riley County Health Department|Integris Southwest</v>
      </c>
      <c r="B795" t="s">
        <v>14</v>
      </c>
      <c r="C795" t="s">
        <v>35</v>
      </c>
      <c r="D795">
        <v>253.23333333333329</v>
      </c>
      <c r="E795">
        <v>294.44049999999999</v>
      </c>
    </row>
    <row r="796" spans="1:5" x14ac:dyDescent="0.2">
      <c r="A796" t="str">
        <f t="shared" si="12"/>
        <v>Flint Hills- Riley County Health Department|Integris Baptist</v>
      </c>
      <c r="B796" t="s">
        <v>14</v>
      </c>
      <c r="C796" t="s">
        <v>34</v>
      </c>
      <c r="D796">
        <v>249.68333333333331</v>
      </c>
      <c r="E796">
        <v>290.2002</v>
      </c>
    </row>
    <row r="797" spans="1:5" x14ac:dyDescent="0.2">
      <c r="A797" t="str">
        <f t="shared" si="12"/>
        <v>Flint Hills- Riley County Health Department|Cleveland County Moore</v>
      </c>
      <c r="B797" t="s">
        <v>14</v>
      </c>
      <c r="C797" t="s">
        <v>33</v>
      </c>
      <c r="D797">
        <v>257.78333333333342</v>
      </c>
      <c r="E797">
        <v>299.75009999999997</v>
      </c>
    </row>
    <row r="798" spans="1:5" x14ac:dyDescent="0.2">
      <c r="A798" t="str">
        <f t="shared" si="12"/>
        <v>Flint Hills- Riley County Health Department|Variety Care- Lafayette</v>
      </c>
      <c r="B798" t="s">
        <v>14</v>
      </c>
      <c r="C798" t="s">
        <v>32</v>
      </c>
      <c r="D798">
        <v>253.55</v>
      </c>
      <c r="E798">
        <v>294.51749999999998</v>
      </c>
    </row>
    <row r="799" spans="1:5" x14ac:dyDescent="0.2">
      <c r="A799" t="str">
        <f t="shared" si="12"/>
        <v>Flint Hills- Riley County Health Department|Edmond Hope Center</v>
      </c>
      <c r="B799" t="s">
        <v>14</v>
      </c>
      <c r="C799" t="s">
        <v>31</v>
      </c>
      <c r="D799">
        <v>238.93333333333331</v>
      </c>
      <c r="E799">
        <v>277.24770000000001</v>
      </c>
    </row>
    <row r="800" spans="1:5" x14ac:dyDescent="0.2">
      <c r="A800" t="str">
        <f t="shared" si="12"/>
        <v>Flint Hills- Riley County Health Department|Canadian Valley</v>
      </c>
      <c r="B800" t="s">
        <v>14</v>
      </c>
      <c r="C800" t="s">
        <v>30</v>
      </c>
      <c r="D800">
        <v>262.16666666666669</v>
      </c>
      <c r="E800">
        <v>306.93619999999999</v>
      </c>
    </row>
    <row r="801" spans="1:5" x14ac:dyDescent="0.2">
      <c r="A801" t="str">
        <f t="shared" si="12"/>
        <v>Flint Hills- Riley County Health Department|St. Anthony Shawnee Hospital</v>
      </c>
      <c r="B801" t="s">
        <v>14</v>
      </c>
      <c r="C801" t="s">
        <v>29</v>
      </c>
      <c r="D801">
        <v>277.39999999999998</v>
      </c>
      <c r="E801">
        <v>322.08030000000002</v>
      </c>
    </row>
    <row r="802" spans="1:5" x14ac:dyDescent="0.2">
      <c r="A802" t="str">
        <f t="shared" si="12"/>
        <v>Flint Hills- Riley County Health Department|OU Children’s Hospital</v>
      </c>
      <c r="B802" t="s">
        <v>14</v>
      </c>
      <c r="C802" t="s">
        <v>28</v>
      </c>
      <c r="D802">
        <v>250.43333333333331</v>
      </c>
      <c r="E802">
        <v>289.67950000000002</v>
      </c>
    </row>
    <row r="803" spans="1:5" x14ac:dyDescent="0.2">
      <c r="A803" t="str">
        <f t="shared" si="12"/>
        <v>Flint Hills- Riley County Health Department|OBI</v>
      </c>
      <c r="B803" t="s">
        <v>14</v>
      </c>
      <c r="C803" t="s">
        <v>27</v>
      </c>
      <c r="D803">
        <v>273.06666666666672</v>
      </c>
      <c r="E803">
        <v>287.61590000000001</v>
      </c>
    </row>
    <row r="804" spans="1:5" x14ac:dyDescent="0.2">
      <c r="A804" t="str">
        <f t="shared" si="12"/>
        <v>Flint Hills- Riley County Health Department|Tulsa Hillcrest Hospital</v>
      </c>
      <c r="B804" t="s">
        <v>14</v>
      </c>
      <c r="C804" t="s">
        <v>26</v>
      </c>
      <c r="D804">
        <v>263.5</v>
      </c>
      <c r="E804">
        <v>257.4067</v>
      </c>
    </row>
    <row r="805" spans="1:5" x14ac:dyDescent="0.2">
      <c r="A805" t="str">
        <f t="shared" si="12"/>
        <v>Flint Hills- Riley County Health Department|St. John Owasso</v>
      </c>
      <c r="B805" t="s">
        <v>14</v>
      </c>
      <c r="C805" t="s">
        <v>25</v>
      </c>
      <c r="D805">
        <v>254.1333333333333</v>
      </c>
      <c r="E805">
        <v>268.44170000000003</v>
      </c>
    </row>
    <row r="806" spans="1:5" x14ac:dyDescent="0.2">
      <c r="A806" t="str">
        <f t="shared" si="12"/>
        <v>Flint Hills- Riley County Health Department|Jane Phillips Medical Center</v>
      </c>
      <c r="B806" t="s">
        <v>14</v>
      </c>
      <c r="C806" t="s">
        <v>24</v>
      </c>
      <c r="D806">
        <v>221</v>
      </c>
      <c r="E806">
        <v>213.56030000000001</v>
      </c>
    </row>
    <row r="807" spans="1:5" x14ac:dyDescent="0.2">
      <c r="A807" t="str">
        <f t="shared" si="12"/>
        <v>Flint Hills- Riley County Health Department|YWCA South</v>
      </c>
      <c r="B807" t="s">
        <v>14</v>
      </c>
      <c r="C807" t="s">
        <v>23</v>
      </c>
      <c r="D807">
        <v>262.75</v>
      </c>
      <c r="E807">
        <v>258.38909999999998</v>
      </c>
    </row>
    <row r="808" spans="1:5" x14ac:dyDescent="0.2">
      <c r="A808" t="str">
        <f t="shared" si="12"/>
        <v>Flint Hills- Riley County Health Department|YWCA East</v>
      </c>
      <c r="B808" t="s">
        <v>14</v>
      </c>
      <c r="C808" t="s">
        <v>22</v>
      </c>
      <c r="D808">
        <v>265.61666666666667</v>
      </c>
      <c r="E808">
        <v>259.03410000000002</v>
      </c>
    </row>
    <row r="809" spans="1:5" x14ac:dyDescent="0.2">
      <c r="A809" t="str">
        <f t="shared" si="12"/>
        <v>Flint Hills- Riley County Health Department|KUMC - University of Kansas Health System</v>
      </c>
      <c r="B809" t="s">
        <v>14</v>
      </c>
      <c r="C809" t="s">
        <v>21</v>
      </c>
      <c r="D809">
        <v>109.1333333333333</v>
      </c>
      <c r="E809">
        <v>122.6288</v>
      </c>
    </row>
    <row r="810" spans="1:5" x14ac:dyDescent="0.2">
      <c r="A810" t="str">
        <f t="shared" si="12"/>
        <v>Flint Hills- Riley County Health Department|KUMC - Kansas Health Systems – St. Francis Campus</v>
      </c>
      <c r="B810" t="s">
        <v>14</v>
      </c>
      <c r="C810" t="s">
        <v>20</v>
      </c>
      <c r="D810">
        <v>55.4</v>
      </c>
      <c r="E810">
        <v>59.019100000000002</v>
      </c>
    </row>
    <row r="811" spans="1:5" x14ac:dyDescent="0.2">
      <c r="A811" t="str">
        <f t="shared" si="12"/>
        <v>Flint Hills- Riley County Health Department|Shawnee Mission MC</v>
      </c>
      <c r="B811" t="s">
        <v>14</v>
      </c>
      <c r="C811" t="s">
        <v>19</v>
      </c>
      <c r="D811">
        <v>108.6666666666667</v>
      </c>
      <c r="E811">
        <v>121.4333</v>
      </c>
    </row>
    <row r="812" spans="1:5" x14ac:dyDescent="0.2">
      <c r="A812" t="str">
        <f t="shared" si="12"/>
        <v>Flint Hills- Riley County Health Department|Woven Leaf</v>
      </c>
      <c r="B812" t="s">
        <v>14</v>
      </c>
      <c r="C812" t="s">
        <v>18</v>
      </c>
      <c r="D812">
        <v>155.1</v>
      </c>
      <c r="E812">
        <v>165.6644</v>
      </c>
    </row>
    <row r="813" spans="1:5" x14ac:dyDescent="0.2">
      <c r="A813" t="str">
        <f t="shared" si="12"/>
        <v>Flint Hills- Riley County Health Department|Southeast KS Health Department</v>
      </c>
      <c r="B813" t="s">
        <v>14</v>
      </c>
      <c r="C813" t="s">
        <v>17</v>
      </c>
      <c r="D813">
        <v>146.83333333333329</v>
      </c>
      <c r="E813">
        <v>157.4188</v>
      </c>
    </row>
    <row r="814" spans="1:5" x14ac:dyDescent="0.2">
      <c r="A814" t="str">
        <f t="shared" si="12"/>
        <v>Flint Hills- Riley County Health Department|Salina Regional</v>
      </c>
      <c r="B814" t="s">
        <v>14</v>
      </c>
      <c r="C814" t="s">
        <v>16</v>
      </c>
      <c r="D814">
        <v>64.483333333333334</v>
      </c>
      <c r="E814">
        <v>68.076800000000006</v>
      </c>
    </row>
    <row r="815" spans="1:5" x14ac:dyDescent="0.2">
      <c r="A815" t="str">
        <f t="shared" si="12"/>
        <v>Flint Hills- Riley County Health Department|Kansas Birth Justice Society</v>
      </c>
      <c r="B815" t="s">
        <v>14</v>
      </c>
      <c r="C815" t="s">
        <v>15</v>
      </c>
      <c r="D815">
        <v>124.51666666666669</v>
      </c>
      <c r="E815">
        <v>130.9186</v>
      </c>
    </row>
    <row r="816" spans="1:5" x14ac:dyDescent="0.2">
      <c r="A816" t="str">
        <f t="shared" si="12"/>
        <v>Flint Hills- Riley County Health Department|Washington Regional Medical Center</v>
      </c>
      <c r="B816" t="s">
        <v>14</v>
      </c>
      <c r="C816" t="s">
        <v>13</v>
      </c>
      <c r="D816">
        <v>297.71666666666658</v>
      </c>
      <c r="E816">
        <v>351.62279999999998</v>
      </c>
    </row>
    <row r="817" spans="1:5" x14ac:dyDescent="0.2">
      <c r="A817" t="str">
        <f t="shared" si="12"/>
        <v>Flint Hills- Riley County Health Department|South Central Medical Center</v>
      </c>
      <c r="B817" t="s">
        <v>14</v>
      </c>
      <c r="C817" t="s">
        <v>12</v>
      </c>
      <c r="D817">
        <v>299.2</v>
      </c>
      <c r="E817">
        <v>341.4248</v>
      </c>
    </row>
    <row r="818" spans="1:5" x14ac:dyDescent="0.2">
      <c r="A818" t="str">
        <f t="shared" si="12"/>
        <v>Flint Hills- Riley County Health Department|Andrew County</v>
      </c>
      <c r="B818" t="s">
        <v>14</v>
      </c>
      <c r="C818" t="s">
        <v>11</v>
      </c>
      <c r="D818">
        <v>147.4</v>
      </c>
      <c r="E818">
        <v>149.3578</v>
      </c>
    </row>
    <row r="819" spans="1:5" x14ac:dyDescent="0.2">
      <c r="A819" t="str">
        <f t="shared" si="12"/>
        <v>Flint Hills- Riley County Health Department|Comanche County Memorial Hospital</v>
      </c>
      <c r="B819" t="s">
        <v>14</v>
      </c>
      <c r="C819" t="s">
        <v>10</v>
      </c>
      <c r="D819">
        <v>321.66666666666669</v>
      </c>
      <c r="E819">
        <v>378.33179999999999</v>
      </c>
    </row>
    <row r="820" spans="1:5" x14ac:dyDescent="0.2">
      <c r="A820" t="str">
        <f t="shared" si="12"/>
        <v>Flint Hills- Riley County Health Department|Garfield County Health Department</v>
      </c>
      <c r="B820" t="s">
        <v>14</v>
      </c>
      <c r="C820" t="s">
        <v>9</v>
      </c>
      <c r="D820">
        <v>223.93333333333331</v>
      </c>
      <c r="E820">
        <v>254.9188</v>
      </c>
    </row>
    <row r="821" spans="1:5" x14ac:dyDescent="0.2">
      <c r="A821" t="str">
        <f t="shared" si="12"/>
        <v>Flint Hills- Riley County Health Department|Grady County</v>
      </c>
      <c r="B821" t="s">
        <v>14</v>
      </c>
      <c r="C821" t="s">
        <v>8</v>
      </c>
      <c r="D821">
        <v>286.93333333333328</v>
      </c>
      <c r="E821">
        <v>334.07960000000003</v>
      </c>
    </row>
    <row r="822" spans="1:5" x14ac:dyDescent="0.2">
      <c r="A822" t="str">
        <f t="shared" si="12"/>
        <v>Flint Hills- Riley County Health Department|Beckham County</v>
      </c>
      <c r="B822" t="s">
        <v>14</v>
      </c>
      <c r="C822" t="s">
        <v>7</v>
      </c>
      <c r="D822">
        <v>339.58333333333331</v>
      </c>
      <c r="E822">
        <v>403.16550000000001</v>
      </c>
    </row>
    <row r="823" spans="1:5" x14ac:dyDescent="0.2">
      <c r="A823" t="str">
        <f t="shared" si="12"/>
        <v>Flint Hills- Riley County Health Department|Custer County</v>
      </c>
      <c r="B823" t="s">
        <v>14</v>
      </c>
      <c r="C823" t="s">
        <v>6</v>
      </c>
      <c r="D823">
        <v>320.48333333333329</v>
      </c>
      <c r="E823">
        <v>377.59359999999998</v>
      </c>
    </row>
    <row r="824" spans="1:5" x14ac:dyDescent="0.2">
      <c r="A824" t="str">
        <f t="shared" si="12"/>
        <v>Flint Hills- Riley County Health Department|Pontotoc County</v>
      </c>
      <c r="B824" t="s">
        <v>14</v>
      </c>
      <c r="C824" t="s">
        <v>5</v>
      </c>
      <c r="D824">
        <v>324.7</v>
      </c>
      <c r="E824">
        <v>370.3888</v>
      </c>
    </row>
    <row r="825" spans="1:5" x14ac:dyDescent="0.2">
      <c r="A825" t="str">
        <f t="shared" si="12"/>
        <v>Flint Hills- Riley County Health Department|McIntosh County</v>
      </c>
      <c r="B825" t="s">
        <v>14</v>
      </c>
      <c r="C825" t="s">
        <v>4</v>
      </c>
      <c r="D825">
        <v>319.95</v>
      </c>
      <c r="E825">
        <v>342.40469999999999</v>
      </c>
    </row>
    <row r="826" spans="1:5" x14ac:dyDescent="0.2">
      <c r="A826" t="str">
        <f t="shared" si="12"/>
        <v>Flint Hills- Riley County Health Department|Carter County Health Department</v>
      </c>
      <c r="B826" t="s">
        <v>14</v>
      </c>
      <c r="C826" t="s">
        <v>3</v>
      </c>
      <c r="D826">
        <v>330.28333333333342</v>
      </c>
      <c r="E826">
        <v>387.95870000000002</v>
      </c>
    </row>
    <row r="827" spans="1:5" x14ac:dyDescent="0.2">
      <c r="A827" t="str">
        <f t="shared" si="12"/>
        <v>Flint Hills- Riley County Health Department|Jackson County Altus</v>
      </c>
      <c r="B827" t="s">
        <v>14</v>
      </c>
      <c r="C827" t="s">
        <v>2</v>
      </c>
      <c r="D827">
        <v>367.85</v>
      </c>
      <c r="E827">
        <v>429.97210000000001</v>
      </c>
    </row>
    <row r="828" spans="1:5" x14ac:dyDescent="0.2">
      <c r="A828" t="str">
        <f t="shared" si="12"/>
        <v>Flint Hills- Riley County Health Department|Alliance Health Woodward</v>
      </c>
      <c r="B828" t="s">
        <v>14</v>
      </c>
      <c r="C828" t="s">
        <v>0</v>
      </c>
      <c r="D828">
        <v>277.71666666666658</v>
      </c>
      <c r="E828">
        <v>305.93020000000001</v>
      </c>
    </row>
    <row r="829" spans="1:5" x14ac:dyDescent="0.2">
      <c r="A829" t="str">
        <f t="shared" si="12"/>
        <v>Flint Hills- Riley County Health Department|McAlester Regional Health</v>
      </c>
      <c r="B829" t="s">
        <v>14</v>
      </c>
      <c r="C829" t="s">
        <v>1</v>
      </c>
      <c r="D829">
        <v>346.41666666666669</v>
      </c>
      <c r="E829">
        <v>397.29480000000001</v>
      </c>
    </row>
    <row r="830" spans="1:5" x14ac:dyDescent="0.2">
      <c r="A830" t="str">
        <f t="shared" si="12"/>
        <v>Washington Regional Medical Center|Oklahoma Mothers’ Milk Bank</v>
      </c>
      <c r="B830" t="s">
        <v>13</v>
      </c>
      <c r="C830" t="s">
        <v>36</v>
      </c>
      <c r="D830">
        <v>191.6333333333333</v>
      </c>
      <c r="E830">
        <v>214.0966</v>
      </c>
    </row>
    <row r="831" spans="1:5" x14ac:dyDescent="0.2">
      <c r="A831" t="str">
        <f t="shared" si="12"/>
        <v>Washington Regional Medical Center|Integris Southwest</v>
      </c>
      <c r="B831" t="s">
        <v>13</v>
      </c>
      <c r="C831" t="s">
        <v>35</v>
      </c>
      <c r="D831">
        <v>195.56666666666669</v>
      </c>
      <c r="E831">
        <v>219.03460000000001</v>
      </c>
    </row>
    <row r="832" spans="1:5" x14ac:dyDescent="0.2">
      <c r="A832" t="str">
        <f t="shared" si="12"/>
        <v>Washington Regional Medical Center|Integris Baptist</v>
      </c>
      <c r="B832" t="s">
        <v>13</v>
      </c>
      <c r="C832" t="s">
        <v>34</v>
      </c>
      <c r="D832">
        <v>192.01666666666671</v>
      </c>
      <c r="E832">
        <v>214.7944</v>
      </c>
    </row>
    <row r="833" spans="1:5" x14ac:dyDescent="0.2">
      <c r="A833" t="str">
        <f t="shared" si="12"/>
        <v>Washington Regional Medical Center|Cleveland County Moore</v>
      </c>
      <c r="B833" t="s">
        <v>13</v>
      </c>
      <c r="C833" t="s">
        <v>33</v>
      </c>
      <c r="D833">
        <v>202.2166666666667</v>
      </c>
      <c r="E833">
        <v>222.2353</v>
      </c>
    </row>
    <row r="834" spans="1:5" x14ac:dyDescent="0.2">
      <c r="A834" t="str">
        <f t="shared" ref="A834:A897" si="13">CONCATENATE(B834,"|",C834)</f>
        <v>Washington Regional Medical Center|Variety Care- Lafayette</v>
      </c>
      <c r="B834" t="s">
        <v>13</v>
      </c>
      <c r="C834" t="s">
        <v>32</v>
      </c>
      <c r="D834">
        <v>195.8833333333333</v>
      </c>
      <c r="E834">
        <v>219.11160000000001</v>
      </c>
    </row>
    <row r="835" spans="1:5" x14ac:dyDescent="0.2">
      <c r="A835" t="str">
        <f t="shared" si="13"/>
        <v>Washington Regional Medical Center|Edmond Hope Center</v>
      </c>
      <c r="B835" t="s">
        <v>13</v>
      </c>
      <c r="C835" t="s">
        <v>31</v>
      </c>
      <c r="D835">
        <v>188.23333333333329</v>
      </c>
      <c r="E835">
        <v>211.06360000000001</v>
      </c>
    </row>
    <row r="836" spans="1:5" x14ac:dyDescent="0.2">
      <c r="A836" t="str">
        <f t="shared" si="13"/>
        <v>Washington Regional Medical Center|Canadian Valley</v>
      </c>
      <c r="B836" t="s">
        <v>13</v>
      </c>
      <c r="C836" t="s">
        <v>30</v>
      </c>
      <c r="D836">
        <v>204.43333333333331</v>
      </c>
      <c r="E836">
        <v>231.68510000000001</v>
      </c>
    </row>
    <row r="837" spans="1:5" x14ac:dyDescent="0.2">
      <c r="A837" t="str">
        <f t="shared" si="13"/>
        <v>Washington Regional Medical Center|St. Anthony Shawnee Hospital</v>
      </c>
      <c r="B837" t="s">
        <v>13</v>
      </c>
      <c r="C837" t="s">
        <v>29</v>
      </c>
      <c r="D837">
        <v>173.2</v>
      </c>
      <c r="E837">
        <v>205.2022</v>
      </c>
    </row>
    <row r="838" spans="1:5" x14ac:dyDescent="0.2">
      <c r="A838" t="str">
        <f t="shared" si="13"/>
        <v>Washington Regional Medical Center|OU Children’s Hospital</v>
      </c>
      <c r="B838" t="s">
        <v>13</v>
      </c>
      <c r="C838" t="s">
        <v>28</v>
      </c>
      <c r="D838">
        <v>192.76666666666671</v>
      </c>
      <c r="E838">
        <v>214.27359999999999</v>
      </c>
    </row>
    <row r="839" spans="1:5" x14ac:dyDescent="0.2">
      <c r="A839" t="str">
        <f t="shared" si="13"/>
        <v>Washington Regional Medical Center|OBI</v>
      </c>
      <c r="B839" t="s">
        <v>13</v>
      </c>
      <c r="C839" t="s">
        <v>27</v>
      </c>
      <c r="D839">
        <v>110.3</v>
      </c>
      <c r="E839">
        <v>112.09910000000001</v>
      </c>
    </row>
    <row r="840" spans="1:5" x14ac:dyDescent="0.2">
      <c r="A840" t="str">
        <f t="shared" si="13"/>
        <v>Washington Regional Medical Center|Tulsa Hillcrest Hospital</v>
      </c>
      <c r="B840" t="s">
        <v>13</v>
      </c>
      <c r="C840" t="s">
        <v>26</v>
      </c>
      <c r="D840">
        <v>108.1666666666667</v>
      </c>
      <c r="E840">
        <v>110.6507</v>
      </c>
    </row>
    <row r="841" spans="1:5" x14ac:dyDescent="0.2">
      <c r="A841" t="str">
        <f t="shared" si="13"/>
        <v>Washington Regional Medical Center|St. John Owasso</v>
      </c>
      <c r="B841" t="s">
        <v>13</v>
      </c>
      <c r="C841" t="s">
        <v>25</v>
      </c>
      <c r="D841">
        <v>109.7833333333333</v>
      </c>
      <c r="E841">
        <v>113.40770000000001</v>
      </c>
    </row>
    <row r="842" spans="1:5" x14ac:dyDescent="0.2">
      <c r="A842" t="str">
        <f t="shared" si="13"/>
        <v>Washington Regional Medical Center|Jane Phillips Medical Center</v>
      </c>
      <c r="B842" t="s">
        <v>13</v>
      </c>
      <c r="C842" t="s">
        <v>24</v>
      </c>
      <c r="D842">
        <v>140.0333333333333</v>
      </c>
      <c r="E842">
        <v>148.3486</v>
      </c>
    </row>
    <row r="843" spans="1:5" x14ac:dyDescent="0.2">
      <c r="A843" t="str">
        <f t="shared" si="13"/>
        <v>Washington Regional Medical Center|YWCA South</v>
      </c>
      <c r="B843" t="s">
        <v>13</v>
      </c>
      <c r="C843" t="s">
        <v>23</v>
      </c>
      <c r="D843">
        <v>106.4166666666667</v>
      </c>
      <c r="E843">
        <v>110.5102</v>
      </c>
    </row>
    <row r="844" spans="1:5" x14ac:dyDescent="0.2">
      <c r="A844" t="str">
        <f t="shared" si="13"/>
        <v>Washington Regional Medical Center|YWCA East</v>
      </c>
      <c r="B844" t="s">
        <v>13</v>
      </c>
      <c r="C844" t="s">
        <v>22</v>
      </c>
      <c r="D844">
        <v>103.18333333333329</v>
      </c>
      <c r="E844">
        <v>106.0805</v>
      </c>
    </row>
    <row r="845" spans="1:5" x14ac:dyDescent="0.2">
      <c r="A845" t="str">
        <f t="shared" si="13"/>
        <v>Washington Regional Medical Center|KUMC - University of Kansas Health System</v>
      </c>
      <c r="B845" t="s">
        <v>13</v>
      </c>
      <c r="C845" t="s">
        <v>21</v>
      </c>
      <c r="D845">
        <v>201.2</v>
      </c>
      <c r="E845">
        <v>234.77950000000001</v>
      </c>
    </row>
    <row r="846" spans="1:5" x14ac:dyDescent="0.2">
      <c r="A846" t="str">
        <f t="shared" si="13"/>
        <v>Washington Regional Medical Center|KUMC - Kansas Health Systems – St. Francis Campus</v>
      </c>
      <c r="B846" t="s">
        <v>13</v>
      </c>
      <c r="C846" t="s">
        <v>20</v>
      </c>
      <c r="D846">
        <v>248.55</v>
      </c>
      <c r="E846">
        <v>294.17700000000002</v>
      </c>
    </row>
    <row r="847" spans="1:5" x14ac:dyDescent="0.2">
      <c r="A847" t="str">
        <f t="shared" si="13"/>
        <v>Washington Regional Medical Center|Shawnee Mission MC</v>
      </c>
      <c r="B847" t="s">
        <v>13</v>
      </c>
      <c r="C847" t="s">
        <v>19</v>
      </c>
      <c r="D847">
        <v>198.81666666666669</v>
      </c>
      <c r="E847">
        <v>237.80369999999999</v>
      </c>
    </row>
    <row r="848" spans="1:5" x14ac:dyDescent="0.2">
      <c r="A848" t="str">
        <f t="shared" si="13"/>
        <v>Washington Regional Medical Center|Woven Leaf</v>
      </c>
      <c r="B848" t="s">
        <v>13</v>
      </c>
      <c r="C848" t="s">
        <v>18</v>
      </c>
      <c r="D848">
        <v>163.80000000000001</v>
      </c>
      <c r="E848">
        <v>177.00630000000001</v>
      </c>
    </row>
    <row r="849" spans="1:5" x14ac:dyDescent="0.2">
      <c r="A849" t="str">
        <f t="shared" si="13"/>
        <v>Washington Regional Medical Center|Southeast KS Health Department</v>
      </c>
      <c r="B849" t="s">
        <v>13</v>
      </c>
      <c r="C849" t="s">
        <v>17</v>
      </c>
      <c r="D849">
        <v>176.83333333333329</v>
      </c>
      <c r="E849">
        <v>186.7544</v>
      </c>
    </row>
    <row r="850" spans="1:5" x14ac:dyDescent="0.2">
      <c r="A850" t="str">
        <f t="shared" si="13"/>
        <v>Washington Regional Medical Center|Salina Regional</v>
      </c>
      <c r="B850" t="s">
        <v>13</v>
      </c>
      <c r="C850" t="s">
        <v>16</v>
      </c>
      <c r="D850">
        <v>318.18333333333328</v>
      </c>
      <c r="E850">
        <v>356.34640000000002</v>
      </c>
    </row>
    <row r="851" spans="1:5" x14ac:dyDescent="0.2">
      <c r="A851" t="str">
        <f t="shared" si="13"/>
        <v>Washington Regional Medical Center|Kansas Birth Justice Society</v>
      </c>
      <c r="B851" t="s">
        <v>13</v>
      </c>
      <c r="C851" t="s">
        <v>15</v>
      </c>
      <c r="D851">
        <v>246.81666666666669</v>
      </c>
      <c r="E851">
        <v>270.18520000000001</v>
      </c>
    </row>
    <row r="852" spans="1:5" x14ac:dyDescent="0.2">
      <c r="A852" t="str">
        <f t="shared" si="13"/>
        <v>Washington Regional Medical Center|Flint Hills- Riley County Health Department</v>
      </c>
      <c r="B852" t="s">
        <v>13</v>
      </c>
      <c r="C852" t="s">
        <v>14</v>
      </c>
      <c r="D852">
        <v>298.48333333333329</v>
      </c>
      <c r="E852">
        <v>352.53559999999999</v>
      </c>
    </row>
    <row r="853" spans="1:5" x14ac:dyDescent="0.2">
      <c r="A853" t="str">
        <f t="shared" si="13"/>
        <v>Washington Regional Medical Center|South Central Medical Center</v>
      </c>
      <c r="B853" t="s">
        <v>13</v>
      </c>
      <c r="C853" t="s">
        <v>12</v>
      </c>
      <c r="D853">
        <v>241.5333333333333</v>
      </c>
      <c r="E853">
        <v>266.01889999999997</v>
      </c>
    </row>
    <row r="854" spans="1:5" x14ac:dyDescent="0.2">
      <c r="A854" t="str">
        <f t="shared" si="13"/>
        <v>Washington Regional Medical Center|Andrew County</v>
      </c>
      <c r="B854" t="s">
        <v>13</v>
      </c>
      <c r="C854" t="s">
        <v>11</v>
      </c>
      <c r="D854">
        <v>255.6166666666667</v>
      </c>
      <c r="E854">
        <v>300.56909999999999</v>
      </c>
    </row>
    <row r="855" spans="1:5" x14ac:dyDescent="0.2">
      <c r="A855" t="str">
        <f t="shared" si="13"/>
        <v>Washington Regional Medical Center|Comanche County Memorial Hospital</v>
      </c>
      <c r="B855" t="s">
        <v>13</v>
      </c>
      <c r="C855" t="s">
        <v>10</v>
      </c>
      <c r="D855">
        <v>264</v>
      </c>
      <c r="E855">
        <v>302.92590000000001</v>
      </c>
    </row>
    <row r="856" spans="1:5" x14ac:dyDescent="0.2">
      <c r="A856" t="str">
        <f t="shared" si="13"/>
        <v>Washington Regional Medical Center|Garfield County Health Department</v>
      </c>
      <c r="B856" t="s">
        <v>13</v>
      </c>
      <c r="C856" t="s">
        <v>9</v>
      </c>
      <c r="D856">
        <v>205.66666666666671</v>
      </c>
      <c r="E856">
        <v>228.14019999999999</v>
      </c>
    </row>
    <row r="857" spans="1:5" x14ac:dyDescent="0.2">
      <c r="A857" t="str">
        <f t="shared" si="13"/>
        <v>Washington Regional Medical Center|Grady County</v>
      </c>
      <c r="B857" t="s">
        <v>13</v>
      </c>
      <c r="C857" t="s">
        <v>8</v>
      </c>
      <c r="D857">
        <v>229.26666666666671</v>
      </c>
      <c r="E857">
        <v>258.6737</v>
      </c>
    </row>
    <row r="858" spans="1:5" x14ac:dyDescent="0.2">
      <c r="A858" t="str">
        <f t="shared" si="13"/>
        <v>Washington Regional Medical Center|Beckham County</v>
      </c>
      <c r="B858" t="s">
        <v>13</v>
      </c>
      <c r="C858" t="s">
        <v>7</v>
      </c>
      <c r="D858">
        <v>281.85000000000002</v>
      </c>
      <c r="E858">
        <v>327.9144</v>
      </c>
    </row>
    <row r="859" spans="1:5" x14ac:dyDescent="0.2">
      <c r="A859" t="str">
        <f t="shared" si="13"/>
        <v>Washington Regional Medical Center|Custer County</v>
      </c>
      <c r="B859" t="s">
        <v>13</v>
      </c>
      <c r="C859" t="s">
        <v>6</v>
      </c>
      <c r="D859">
        <v>262.75</v>
      </c>
      <c r="E859">
        <v>302.3424</v>
      </c>
    </row>
    <row r="860" spans="1:5" x14ac:dyDescent="0.2">
      <c r="A860" t="str">
        <f t="shared" si="13"/>
        <v>Washington Regional Medical Center|Pontotoc County</v>
      </c>
      <c r="B860" t="s">
        <v>13</v>
      </c>
      <c r="C860" t="s">
        <v>5</v>
      </c>
      <c r="D860">
        <v>198.18333333333331</v>
      </c>
      <c r="E860">
        <v>222.01650000000001</v>
      </c>
    </row>
    <row r="861" spans="1:5" x14ac:dyDescent="0.2">
      <c r="A861" t="str">
        <f t="shared" si="13"/>
        <v>Washington Regional Medical Center|McIntosh County</v>
      </c>
      <c r="B861" t="s">
        <v>13</v>
      </c>
      <c r="C861" t="s">
        <v>4</v>
      </c>
      <c r="D861">
        <v>107.01666666666669</v>
      </c>
      <c r="E861">
        <v>122.8873</v>
      </c>
    </row>
    <row r="862" spans="1:5" x14ac:dyDescent="0.2">
      <c r="A862" t="str">
        <f t="shared" si="13"/>
        <v>Washington Regional Medical Center|Carter County Health Department</v>
      </c>
      <c r="B862" t="s">
        <v>13</v>
      </c>
      <c r="C862" t="s">
        <v>3</v>
      </c>
      <c r="D862">
        <v>258.08333333333331</v>
      </c>
      <c r="E862">
        <v>280.19799999999998</v>
      </c>
    </row>
    <row r="863" spans="1:5" x14ac:dyDescent="0.2">
      <c r="A863" t="str">
        <f t="shared" si="13"/>
        <v>Washington Regional Medical Center|Jackson County Altus</v>
      </c>
      <c r="B863" t="s">
        <v>13</v>
      </c>
      <c r="C863" t="s">
        <v>2</v>
      </c>
      <c r="D863">
        <v>310.18333333333328</v>
      </c>
      <c r="E863">
        <v>354.56619999999998</v>
      </c>
    </row>
    <row r="864" spans="1:5" x14ac:dyDescent="0.2">
      <c r="A864" t="str">
        <f t="shared" si="13"/>
        <v>Washington Regional Medical Center|Alliance Health Woodward</v>
      </c>
      <c r="B864" t="s">
        <v>13</v>
      </c>
      <c r="C864" t="s">
        <v>0</v>
      </c>
      <c r="D864">
        <v>285.55</v>
      </c>
      <c r="E864">
        <v>314.26530000000002</v>
      </c>
    </row>
    <row r="865" spans="1:5" x14ac:dyDescent="0.2">
      <c r="A865" t="str">
        <f t="shared" si="13"/>
        <v>Washington Regional Medical Center|McAlester Regional Health</v>
      </c>
      <c r="B865" t="s">
        <v>13</v>
      </c>
      <c r="C865" t="s">
        <v>1</v>
      </c>
      <c r="D865">
        <v>142.83333333333329</v>
      </c>
      <c r="E865">
        <v>164.74850000000001</v>
      </c>
    </row>
    <row r="866" spans="1:5" x14ac:dyDescent="0.2">
      <c r="A866" t="str">
        <f t="shared" si="13"/>
        <v>South Central Medical Center|Oklahoma Mothers’ Milk Bank</v>
      </c>
      <c r="B866" t="s">
        <v>12</v>
      </c>
      <c r="C866" t="s">
        <v>36</v>
      </c>
      <c r="D866">
        <v>56.966666666666669</v>
      </c>
      <c r="E866">
        <v>53.797699999999999</v>
      </c>
    </row>
    <row r="867" spans="1:5" x14ac:dyDescent="0.2">
      <c r="A867" t="str">
        <f t="shared" si="13"/>
        <v>South Central Medical Center|Integris Southwest</v>
      </c>
      <c r="B867" t="s">
        <v>12</v>
      </c>
      <c r="C867" t="s">
        <v>35</v>
      </c>
      <c r="D867">
        <v>53.116666666666667</v>
      </c>
      <c r="E867">
        <v>47.603200000000001</v>
      </c>
    </row>
    <row r="868" spans="1:5" x14ac:dyDescent="0.2">
      <c r="A868" t="str">
        <f t="shared" si="13"/>
        <v>South Central Medical Center|Integris Baptist</v>
      </c>
      <c r="B868" t="s">
        <v>12</v>
      </c>
      <c r="C868" t="s">
        <v>34</v>
      </c>
      <c r="D868">
        <v>57.06666666666667</v>
      </c>
      <c r="E868">
        <v>53.130299999999998</v>
      </c>
    </row>
    <row r="869" spans="1:5" x14ac:dyDescent="0.2">
      <c r="A869" t="str">
        <f t="shared" si="13"/>
        <v>South Central Medical Center|Cleveland County Moore</v>
      </c>
      <c r="B869" t="s">
        <v>12</v>
      </c>
      <c r="C869" t="s">
        <v>33</v>
      </c>
      <c r="D869">
        <v>49.133333333333333</v>
      </c>
      <c r="E869">
        <v>43.455599999999997</v>
      </c>
    </row>
    <row r="870" spans="1:5" x14ac:dyDescent="0.2">
      <c r="A870" t="str">
        <f t="shared" si="13"/>
        <v>South Central Medical Center|Variety Care- Lafayette</v>
      </c>
      <c r="B870" t="s">
        <v>12</v>
      </c>
      <c r="C870" t="s">
        <v>32</v>
      </c>
      <c r="D870">
        <v>53.3</v>
      </c>
      <c r="E870">
        <v>47.979799999999997</v>
      </c>
    </row>
    <row r="871" spans="1:5" x14ac:dyDescent="0.2">
      <c r="A871" t="str">
        <f t="shared" si="13"/>
        <v>South Central Medical Center|Edmond Hope Center</v>
      </c>
      <c r="B871" t="s">
        <v>12</v>
      </c>
      <c r="C871" t="s">
        <v>31</v>
      </c>
      <c r="D871">
        <v>71.36666666666666</v>
      </c>
      <c r="E871">
        <v>67.239199999999997</v>
      </c>
    </row>
    <row r="872" spans="1:5" x14ac:dyDescent="0.2">
      <c r="A872" t="str">
        <f t="shared" si="13"/>
        <v>South Central Medical Center|Canadian Valley</v>
      </c>
      <c r="B872" t="s">
        <v>12</v>
      </c>
      <c r="C872" t="s">
        <v>30</v>
      </c>
      <c r="D872">
        <v>63.18333333333333</v>
      </c>
      <c r="E872">
        <v>55.235500000000002</v>
      </c>
    </row>
    <row r="873" spans="1:5" x14ac:dyDescent="0.2">
      <c r="A873" t="str">
        <f t="shared" si="13"/>
        <v>South Central Medical Center|St. Anthony Shawnee Hospital</v>
      </c>
      <c r="B873" t="s">
        <v>12</v>
      </c>
      <c r="C873" t="s">
        <v>29</v>
      </c>
      <c r="D873">
        <v>80.3</v>
      </c>
      <c r="E873">
        <v>80.986999999999995</v>
      </c>
    </row>
    <row r="874" spans="1:5" x14ac:dyDescent="0.2">
      <c r="A874" t="str">
        <f t="shared" si="13"/>
        <v>South Central Medical Center|OU Children’s Hospital</v>
      </c>
      <c r="B874" t="s">
        <v>12</v>
      </c>
      <c r="C874" t="s">
        <v>28</v>
      </c>
      <c r="D874">
        <v>57.45</v>
      </c>
      <c r="E874">
        <v>53.591999999999999</v>
      </c>
    </row>
    <row r="875" spans="1:5" x14ac:dyDescent="0.2">
      <c r="A875" t="str">
        <f t="shared" si="13"/>
        <v>South Central Medical Center|OBI</v>
      </c>
      <c r="B875" t="s">
        <v>12</v>
      </c>
      <c r="C875" t="s">
        <v>27</v>
      </c>
      <c r="D875">
        <v>140.69999999999999</v>
      </c>
      <c r="E875">
        <v>157.50700000000001</v>
      </c>
    </row>
    <row r="876" spans="1:5" x14ac:dyDescent="0.2">
      <c r="A876" t="str">
        <f t="shared" si="13"/>
        <v>South Central Medical Center|Tulsa Hillcrest Hospital</v>
      </c>
      <c r="B876" t="s">
        <v>12</v>
      </c>
      <c r="C876" t="s">
        <v>26</v>
      </c>
      <c r="D876">
        <v>141.48333333333329</v>
      </c>
      <c r="E876">
        <v>157.97989999999999</v>
      </c>
    </row>
    <row r="877" spans="1:5" x14ac:dyDescent="0.2">
      <c r="A877" t="str">
        <f t="shared" si="13"/>
        <v>South Central Medical Center|St. John Owasso</v>
      </c>
      <c r="B877" t="s">
        <v>12</v>
      </c>
      <c r="C877" t="s">
        <v>25</v>
      </c>
      <c r="D877">
        <v>156.18333333333331</v>
      </c>
      <c r="E877">
        <v>174.184</v>
      </c>
    </row>
    <row r="878" spans="1:5" x14ac:dyDescent="0.2">
      <c r="A878" t="str">
        <f t="shared" si="13"/>
        <v>South Central Medical Center|Jane Phillips Medical Center</v>
      </c>
      <c r="B878" t="s">
        <v>12</v>
      </c>
      <c r="C878" t="s">
        <v>24</v>
      </c>
      <c r="D878">
        <v>177.8833333333333</v>
      </c>
      <c r="E878">
        <v>199.7124</v>
      </c>
    </row>
    <row r="879" spans="1:5" x14ac:dyDescent="0.2">
      <c r="A879" t="str">
        <f t="shared" si="13"/>
        <v>South Central Medical Center|YWCA South</v>
      </c>
      <c r="B879" t="s">
        <v>12</v>
      </c>
      <c r="C879" t="s">
        <v>23</v>
      </c>
      <c r="D879">
        <v>140.80000000000001</v>
      </c>
      <c r="E879">
        <v>158.46080000000001</v>
      </c>
    </row>
    <row r="880" spans="1:5" x14ac:dyDescent="0.2">
      <c r="A880" t="str">
        <f t="shared" si="13"/>
        <v>South Central Medical Center|YWCA East</v>
      </c>
      <c r="B880" t="s">
        <v>12</v>
      </c>
      <c r="C880" t="s">
        <v>22</v>
      </c>
      <c r="D880">
        <v>144.7833333333333</v>
      </c>
      <c r="E880">
        <v>161.29429999999999</v>
      </c>
    </row>
    <row r="881" spans="1:5" x14ac:dyDescent="0.2">
      <c r="A881" t="str">
        <f t="shared" si="13"/>
        <v>South Central Medical Center|KUMC - University of Kansas Health System</v>
      </c>
      <c r="B881" t="s">
        <v>12</v>
      </c>
      <c r="C881" t="s">
        <v>21</v>
      </c>
      <c r="D881">
        <v>331.88333333333333</v>
      </c>
      <c r="E881">
        <v>397.08539999999999</v>
      </c>
    </row>
    <row r="882" spans="1:5" x14ac:dyDescent="0.2">
      <c r="A882" t="str">
        <f t="shared" si="13"/>
        <v>South Central Medical Center|KUMC - Kansas Health Systems – St. Francis Campus</v>
      </c>
      <c r="B882" t="s">
        <v>12</v>
      </c>
      <c r="C882" t="s">
        <v>20</v>
      </c>
      <c r="D882">
        <v>291.41666666666669</v>
      </c>
      <c r="E882">
        <v>343.5213</v>
      </c>
    </row>
    <row r="883" spans="1:5" x14ac:dyDescent="0.2">
      <c r="A883" t="str">
        <f t="shared" si="13"/>
        <v>South Central Medical Center|Shawnee Mission MC</v>
      </c>
      <c r="B883" t="s">
        <v>12</v>
      </c>
      <c r="C883" t="s">
        <v>19</v>
      </c>
      <c r="D883">
        <v>323.5</v>
      </c>
      <c r="E883">
        <v>388.65089999999998</v>
      </c>
    </row>
    <row r="884" spans="1:5" x14ac:dyDescent="0.2">
      <c r="A884" t="str">
        <f t="shared" si="13"/>
        <v>South Central Medical Center|Woven Leaf</v>
      </c>
      <c r="B884" t="s">
        <v>12</v>
      </c>
      <c r="C884" t="s">
        <v>18</v>
      </c>
      <c r="D884">
        <v>258.39999999999998</v>
      </c>
      <c r="E884">
        <v>279.95260000000002</v>
      </c>
    </row>
    <row r="885" spans="1:5" x14ac:dyDescent="0.2">
      <c r="A885" t="str">
        <f t="shared" si="13"/>
        <v>South Central Medical Center|Southeast KS Health Department</v>
      </c>
      <c r="B885" t="s">
        <v>12</v>
      </c>
      <c r="C885" t="s">
        <v>17</v>
      </c>
      <c r="D885">
        <v>273.71666666666658</v>
      </c>
      <c r="E885">
        <v>296.96820000000002</v>
      </c>
    </row>
    <row r="886" spans="1:5" x14ac:dyDescent="0.2">
      <c r="A886" t="str">
        <f t="shared" si="13"/>
        <v>South Central Medical Center|Salina Regional</v>
      </c>
      <c r="B886" t="s">
        <v>12</v>
      </c>
      <c r="C886" t="s">
        <v>16</v>
      </c>
      <c r="D886">
        <v>257.11666666666667</v>
      </c>
      <c r="E886">
        <v>298.22030000000001</v>
      </c>
    </row>
    <row r="887" spans="1:5" x14ac:dyDescent="0.2">
      <c r="A887" t="str">
        <f t="shared" si="13"/>
        <v>South Central Medical Center|Kansas Birth Justice Society</v>
      </c>
      <c r="B887" t="s">
        <v>12</v>
      </c>
      <c r="C887" t="s">
        <v>15</v>
      </c>
      <c r="D887">
        <v>184.6166666666667</v>
      </c>
      <c r="E887">
        <v>211.01949999999999</v>
      </c>
    </row>
    <row r="888" spans="1:5" x14ac:dyDescent="0.2">
      <c r="A888" t="str">
        <f t="shared" si="13"/>
        <v>South Central Medical Center|Flint Hills- Riley County Health Department</v>
      </c>
      <c r="B888" t="s">
        <v>12</v>
      </c>
      <c r="C888" t="s">
        <v>14</v>
      </c>
      <c r="D888">
        <v>299.28333333333342</v>
      </c>
      <c r="E888">
        <v>341.3279</v>
      </c>
    </row>
    <row r="889" spans="1:5" x14ac:dyDescent="0.2">
      <c r="A889" t="str">
        <f t="shared" si="13"/>
        <v>South Central Medical Center|Washington Regional Medical Center</v>
      </c>
      <c r="B889" t="s">
        <v>12</v>
      </c>
      <c r="C889" t="s">
        <v>13</v>
      </c>
      <c r="D889">
        <v>240.73333333333329</v>
      </c>
      <c r="E889">
        <v>265.71820000000002</v>
      </c>
    </row>
    <row r="890" spans="1:5" x14ac:dyDescent="0.2">
      <c r="A890" t="str">
        <f t="shared" si="13"/>
        <v>South Central Medical Center|Andrew County</v>
      </c>
      <c r="B890" t="s">
        <v>12</v>
      </c>
      <c r="C890" t="s">
        <v>11</v>
      </c>
      <c r="D890">
        <v>374.31666666666672</v>
      </c>
      <c r="E890">
        <v>450.7799</v>
      </c>
    </row>
    <row r="891" spans="1:5" x14ac:dyDescent="0.2">
      <c r="A891" t="str">
        <f t="shared" si="13"/>
        <v>South Central Medical Center|Comanche County Memorial Hospital</v>
      </c>
      <c r="B891" t="s">
        <v>12</v>
      </c>
      <c r="C891" t="s">
        <v>10</v>
      </c>
      <c r="D891">
        <v>68.3</v>
      </c>
      <c r="E891">
        <v>70.713300000000004</v>
      </c>
    </row>
    <row r="892" spans="1:5" x14ac:dyDescent="0.2">
      <c r="A892" t="str">
        <f t="shared" si="13"/>
        <v>South Central Medical Center|Garfield County Health Department</v>
      </c>
      <c r="B892" t="s">
        <v>12</v>
      </c>
      <c r="C892" t="s">
        <v>9</v>
      </c>
      <c r="D892">
        <v>130.65</v>
      </c>
      <c r="E892">
        <v>128.96680000000001</v>
      </c>
    </row>
    <row r="893" spans="1:5" x14ac:dyDescent="0.2">
      <c r="A893" t="str">
        <f t="shared" si="13"/>
        <v>South Central Medical Center|Grady County</v>
      </c>
      <c r="B893" t="s">
        <v>12</v>
      </c>
      <c r="C893" t="s">
        <v>8</v>
      </c>
      <c r="D893">
        <v>34.166666666666657</v>
      </c>
      <c r="E893">
        <v>28.2438</v>
      </c>
    </row>
    <row r="894" spans="1:5" x14ac:dyDescent="0.2">
      <c r="A894" t="str">
        <f t="shared" si="13"/>
        <v>South Central Medical Center|Beckham County</v>
      </c>
      <c r="B894" t="s">
        <v>12</v>
      </c>
      <c r="C894" t="s">
        <v>7</v>
      </c>
      <c r="D894">
        <v>139.01666666666671</v>
      </c>
      <c r="E894">
        <v>146.9238</v>
      </c>
    </row>
    <row r="895" spans="1:5" x14ac:dyDescent="0.2">
      <c r="A895" t="str">
        <f t="shared" si="13"/>
        <v>South Central Medical Center|Custer County</v>
      </c>
      <c r="B895" t="s">
        <v>12</v>
      </c>
      <c r="C895" t="s">
        <v>6</v>
      </c>
      <c r="D895">
        <v>119.9166666666667</v>
      </c>
      <c r="E895">
        <v>121.3519</v>
      </c>
    </row>
    <row r="896" spans="1:5" x14ac:dyDescent="0.2">
      <c r="A896" t="str">
        <f t="shared" si="13"/>
        <v>South Central Medical Center|Pontotoc County</v>
      </c>
      <c r="B896" t="s">
        <v>12</v>
      </c>
      <c r="C896" t="s">
        <v>5</v>
      </c>
      <c r="D896">
        <v>68.333333333333329</v>
      </c>
      <c r="E896">
        <v>60.4495</v>
      </c>
    </row>
    <row r="897" spans="1:5" x14ac:dyDescent="0.2">
      <c r="A897" t="str">
        <f t="shared" si="13"/>
        <v>South Central Medical Center|McIntosh County</v>
      </c>
      <c r="B897" t="s">
        <v>12</v>
      </c>
      <c r="C897" t="s">
        <v>4</v>
      </c>
      <c r="D897">
        <v>141.75</v>
      </c>
      <c r="E897">
        <v>160.63630000000001</v>
      </c>
    </row>
    <row r="898" spans="1:5" x14ac:dyDescent="0.2">
      <c r="A898" t="str">
        <f t="shared" ref="A898:A961" si="14">CONCATENATE(B898,"|",C898)</f>
        <v>South Central Medical Center|Carter County Health Department</v>
      </c>
      <c r="B898" t="s">
        <v>12</v>
      </c>
      <c r="C898" t="s">
        <v>3</v>
      </c>
      <c r="D898">
        <v>62.25</v>
      </c>
      <c r="E898">
        <v>65.724900000000005</v>
      </c>
    </row>
    <row r="899" spans="1:5" x14ac:dyDescent="0.2">
      <c r="A899" t="str">
        <f t="shared" si="14"/>
        <v>South Central Medical Center|Jackson County Altus</v>
      </c>
      <c r="B899" t="s">
        <v>12</v>
      </c>
      <c r="C899" t="s">
        <v>2</v>
      </c>
      <c r="D899">
        <v>114.48333333333331</v>
      </c>
      <c r="E899">
        <v>122.3536</v>
      </c>
    </row>
    <row r="900" spans="1:5" x14ac:dyDescent="0.2">
      <c r="A900" t="str">
        <f t="shared" si="14"/>
        <v>South Central Medical Center|Alliance Health Woodward</v>
      </c>
      <c r="B900" t="s">
        <v>12</v>
      </c>
      <c r="C900" t="s">
        <v>0</v>
      </c>
      <c r="D900">
        <v>173.9</v>
      </c>
      <c r="E900">
        <v>175.59020000000001</v>
      </c>
    </row>
    <row r="901" spans="1:5" x14ac:dyDescent="0.2">
      <c r="A901" t="str">
        <f t="shared" si="14"/>
        <v>South Central Medical Center|McAlester Regional Health</v>
      </c>
      <c r="B901" t="s">
        <v>12</v>
      </c>
      <c r="C901" t="s">
        <v>1</v>
      </c>
      <c r="D901">
        <v>129.5</v>
      </c>
      <c r="E901">
        <v>120.7424</v>
      </c>
    </row>
    <row r="902" spans="1:5" x14ac:dyDescent="0.2">
      <c r="A902" t="str">
        <f t="shared" si="14"/>
        <v>Andrew County|Oklahoma Mothers’ Milk Bank</v>
      </c>
      <c r="B902" t="s">
        <v>11</v>
      </c>
      <c r="C902" t="s">
        <v>36</v>
      </c>
      <c r="D902">
        <v>323.38333333333333</v>
      </c>
      <c r="E902">
        <v>398.12119999999999</v>
      </c>
    </row>
    <row r="903" spans="1:5" x14ac:dyDescent="0.2">
      <c r="A903" t="str">
        <f t="shared" si="14"/>
        <v>Andrew County|Integris Southwest</v>
      </c>
      <c r="B903" t="s">
        <v>11</v>
      </c>
      <c r="C903" t="s">
        <v>35</v>
      </c>
      <c r="D903">
        <v>327.31666666666672</v>
      </c>
      <c r="E903">
        <v>403.05930000000001</v>
      </c>
    </row>
    <row r="904" spans="1:5" x14ac:dyDescent="0.2">
      <c r="A904" t="str">
        <f t="shared" si="14"/>
        <v>Andrew County|Integris Baptist</v>
      </c>
      <c r="B904" t="s">
        <v>11</v>
      </c>
      <c r="C904" t="s">
        <v>34</v>
      </c>
      <c r="D904">
        <v>323.76666666666671</v>
      </c>
      <c r="E904">
        <v>398.81900000000002</v>
      </c>
    </row>
    <row r="905" spans="1:5" x14ac:dyDescent="0.2">
      <c r="A905" t="str">
        <f t="shared" si="14"/>
        <v>Andrew County|Cleveland County Moore</v>
      </c>
      <c r="B905" t="s">
        <v>11</v>
      </c>
      <c r="C905" t="s">
        <v>33</v>
      </c>
      <c r="D905">
        <v>331.86666666666667</v>
      </c>
      <c r="E905">
        <v>408.3689</v>
      </c>
    </row>
    <row r="906" spans="1:5" x14ac:dyDescent="0.2">
      <c r="A906" t="str">
        <f t="shared" si="14"/>
        <v>Andrew County|Variety Care- Lafayette</v>
      </c>
      <c r="B906" t="s">
        <v>11</v>
      </c>
      <c r="C906" t="s">
        <v>32</v>
      </c>
      <c r="D906">
        <v>327.63333333333333</v>
      </c>
      <c r="E906">
        <v>403.13630000000001</v>
      </c>
    </row>
    <row r="907" spans="1:5" x14ac:dyDescent="0.2">
      <c r="A907" t="str">
        <f t="shared" si="14"/>
        <v>Andrew County|Edmond Hope Center</v>
      </c>
      <c r="B907" t="s">
        <v>11</v>
      </c>
      <c r="C907" t="s">
        <v>31</v>
      </c>
      <c r="D907">
        <v>313.01666666666671</v>
      </c>
      <c r="E907">
        <v>385.86649999999997</v>
      </c>
    </row>
    <row r="908" spans="1:5" x14ac:dyDescent="0.2">
      <c r="A908" t="str">
        <f t="shared" si="14"/>
        <v>Andrew County|Canadian Valley</v>
      </c>
      <c r="B908" t="s">
        <v>11</v>
      </c>
      <c r="C908" t="s">
        <v>30</v>
      </c>
      <c r="D908">
        <v>336.25</v>
      </c>
      <c r="E908">
        <v>415.55500000000001</v>
      </c>
    </row>
    <row r="909" spans="1:5" x14ac:dyDescent="0.2">
      <c r="A909" t="str">
        <f t="shared" si="14"/>
        <v>Andrew County|St. Anthony Shawnee Hospital</v>
      </c>
      <c r="B909" t="s">
        <v>11</v>
      </c>
      <c r="C909" t="s">
        <v>29</v>
      </c>
      <c r="D909">
        <v>351.48333333333329</v>
      </c>
      <c r="E909">
        <v>430.69909999999999</v>
      </c>
    </row>
    <row r="910" spans="1:5" x14ac:dyDescent="0.2">
      <c r="A910" t="str">
        <f t="shared" si="14"/>
        <v>Andrew County|OU Children’s Hospital</v>
      </c>
      <c r="B910" t="s">
        <v>11</v>
      </c>
      <c r="C910" t="s">
        <v>28</v>
      </c>
      <c r="D910">
        <v>324.51666666666671</v>
      </c>
      <c r="E910">
        <v>398.29829999999998</v>
      </c>
    </row>
    <row r="911" spans="1:5" x14ac:dyDescent="0.2">
      <c r="A911" t="str">
        <f t="shared" si="14"/>
        <v>Andrew County|OBI</v>
      </c>
      <c r="B911" t="s">
        <v>11</v>
      </c>
      <c r="C911" t="s">
        <v>27</v>
      </c>
      <c r="D911">
        <v>279.26666666666671</v>
      </c>
      <c r="E911">
        <v>302.24919999999997</v>
      </c>
    </row>
    <row r="912" spans="1:5" x14ac:dyDescent="0.2">
      <c r="A912" t="str">
        <f t="shared" si="14"/>
        <v>Andrew County|Tulsa Hillcrest Hospital</v>
      </c>
      <c r="B912" t="s">
        <v>11</v>
      </c>
      <c r="C912" t="s">
        <v>26</v>
      </c>
      <c r="D912">
        <v>275.75</v>
      </c>
      <c r="E912">
        <v>299.37349999999998</v>
      </c>
    </row>
    <row r="913" spans="1:5" x14ac:dyDescent="0.2">
      <c r="A913" t="str">
        <f t="shared" si="14"/>
        <v>Andrew County|St. John Owasso</v>
      </c>
      <c r="B913" t="s">
        <v>11</v>
      </c>
      <c r="C913" t="s">
        <v>25</v>
      </c>
      <c r="D913">
        <v>260.33333333333331</v>
      </c>
      <c r="E913">
        <v>283.07499999999999</v>
      </c>
    </row>
    <row r="914" spans="1:5" x14ac:dyDescent="0.2">
      <c r="A914" t="str">
        <f t="shared" si="14"/>
        <v>Andrew County|Jane Phillips Medical Center</v>
      </c>
      <c r="B914" t="s">
        <v>11</v>
      </c>
      <c r="C914" t="s">
        <v>24</v>
      </c>
      <c r="D914">
        <v>240.1166666666667</v>
      </c>
      <c r="E914">
        <v>260.51979999999998</v>
      </c>
    </row>
    <row r="915" spans="1:5" x14ac:dyDescent="0.2">
      <c r="A915" t="str">
        <f t="shared" si="14"/>
        <v>Andrew County|YWCA South</v>
      </c>
      <c r="B915" t="s">
        <v>11</v>
      </c>
      <c r="C915" t="s">
        <v>23</v>
      </c>
      <c r="D915">
        <v>275.38333333333333</v>
      </c>
      <c r="E915">
        <v>300.66039999999998</v>
      </c>
    </row>
    <row r="916" spans="1:5" x14ac:dyDescent="0.2">
      <c r="A916" t="str">
        <f t="shared" si="14"/>
        <v>Andrew County|YWCA East</v>
      </c>
      <c r="B916" t="s">
        <v>11</v>
      </c>
      <c r="C916" t="s">
        <v>22</v>
      </c>
      <c r="D916">
        <v>272.16666666666669</v>
      </c>
      <c r="E916">
        <v>295.69</v>
      </c>
    </row>
    <row r="917" spans="1:5" x14ac:dyDescent="0.2">
      <c r="A917" t="str">
        <f t="shared" si="14"/>
        <v>Andrew County|KUMC - University of Kansas Health System</v>
      </c>
      <c r="B917" t="s">
        <v>11</v>
      </c>
      <c r="C917" t="s">
        <v>21</v>
      </c>
      <c r="D917">
        <v>64.483333333333334</v>
      </c>
      <c r="E917">
        <v>67.651200000000003</v>
      </c>
    </row>
    <row r="918" spans="1:5" x14ac:dyDescent="0.2">
      <c r="A918" t="str">
        <f t="shared" si="14"/>
        <v>Andrew County|KUMC - Kansas Health Systems – St. Francis Campus</v>
      </c>
      <c r="B918" t="s">
        <v>11</v>
      </c>
      <c r="C918" t="s">
        <v>20</v>
      </c>
      <c r="D918">
        <v>98.516666666666666</v>
      </c>
      <c r="E918">
        <v>90.755600000000001</v>
      </c>
    </row>
    <row r="919" spans="1:5" x14ac:dyDescent="0.2">
      <c r="A919" t="str">
        <f t="shared" si="14"/>
        <v>Andrew County|Shawnee Mission MC</v>
      </c>
      <c r="B919" t="s">
        <v>11</v>
      </c>
      <c r="C919" t="s">
        <v>19</v>
      </c>
      <c r="D919">
        <v>67.083333333333329</v>
      </c>
      <c r="E919">
        <v>73.192599999999999</v>
      </c>
    </row>
    <row r="920" spans="1:5" x14ac:dyDescent="0.2">
      <c r="A920" t="str">
        <f t="shared" si="14"/>
        <v>Andrew County|Woven Leaf</v>
      </c>
      <c r="B920" t="s">
        <v>11</v>
      </c>
      <c r="C920" t="s">
        <v>18</v>
      </c>
      <c r="D920">
        <v>162.1</v>
      </c>
      <c r="E920">
        <v>180.30699999999999</v>
      </c>
    </row>
    <row r="921" spans="1:5" x14ac:dyDescent="0.2">
      <c r="A921" t="str">
        <f t="shared" si="14"/>
        <v>Andrew County|Southeast KS Health Department</v>
      </c>
      <c r="B921" t="s">
        <v>11</v>
      </c>
      <c r="C921" t="s">
        <v>17</v>
      </c>
      <c r="D921">
        <v>145.93333333333331</v>
      </c>
      <c r="E921">
        <v>161.2371</v>
      </c>
    </row>
    <row r="922" spans="1:5" x14ac:dyDescent="0.2">
      <c r="A922" t="str">
        <f t="shared" si="14"/>
        <v>Andrew County|Salina Regional</v>
      </c>
      <c r="B922" t="s">
        <v>11</v>
      </c>
      <c r="C922" t="s">
        <v>16</v>
      </c>
      <c r="D922">
        <v>185.58333333333329</v>
      </c>
      <c r="E922">
        <v>200.92099999999999</v>
      </c>
    </row>
    <row r="923" spans="1:5" x14ac:dyDescent="0.2">
      <c r="A923" t="str">
        <f t="shared" si="14"/>
        <v>Andrew County|Kansas Birth Justice Society</v>
      </c>
      <c r="B923" t="s">
        <v>11</v>
      </c>
      <c r="C923" t="s">
        <v>15</v>
      </c>
      <c r="D923">
        <v>202.35</v>
      </c>
      <c r="E923">
        <v>245.69890000000001</v>
      </c>
    </row>
    <row r="924" spans="1:5" x14ac:dyDescent="0.2">
      <c r="A924" t="str">
        <f t="shared" si="14"/>
        <v>Andrew County|Flint Hills- Riley County Health Department</v>
      </c>
      <c r="B924" t="s">
        <v>11</v>
      </c>
      <c r="C924" t="s">
        <v>14</v>
      </c>
      <c r="D924">
        <v>145.08333333333329</v>
      </c>
      <c r="E924">
        <v>147.42840000000001</v>
      </c>
    </row>
    <row r="925" spans="1:5" x14ac:dyDescent="0.2">
      <c r="A925" t="str">
        <f t="shared" si="14"/>
        <v>Andrew County|Washington Regional Medical Center</v>
      </c>
      <c r="B925" t="s">
        <v>11</v>
      </c>
      <c r="C925" t="s">
        <v>13</v>
      </c>
      <c r="D925">
        <v>256.26666666666671</v>
      </c>
      <c r="E925">
        <v>300.6567</v>
      </c>
    </row>
    <row r="926" spans="1:5" x14ac:dyDescent="0.2">
      <c r="A926" t="str">
        <f t="shared" si="14"/>
        <v>Andrew County|South Central Medical Center</v>
      </c>
      <c r="B926" t="s">
        <v>11</v>
      </c>
      <c r="C926" t="s">
        <v>12</v>
      </c>
      <c r="D926">
        <v>373.28333333333342</v>
      </c>
      <c r="E926">
        <v>450.04360000000003</v>
      </c>
    </row>
    <row r="927" spans="1:5" x14ac:dyDescent="0.2">
      <c r="A927" t="str">
        <f t="shared" si="14"/>
        <v>Andrew County|Comanche County Memorial Hospital</v>
      </c>
      <c r="B927" t="s">
        <v>11</v>
      </c>
      <c r="C927" t="s">
        <v>10</v>
      </c>
      <c r="D927">
        <v>395.75</v>
      </c>
      <c r="E927">
        <v>486.95060000000001</v>
      </c>
    </row>
    <row r="928" spans="1:5" x14ac:dyDescent="0.2">
      <c r="A928" t="str">
        <f t="shared" si="14"/>
        <v>Andrew County|Garfield County Health Department</v>
      </c>
      <c r="B928" t="s">
        <v>11</v>
      </c>
      <c r="C928" t="s">
        <v>9</v>
      </c>
      <c r="D928">
        <v>298.01666666666671</v>
      </c>
      <c r="E928">
        <v>363.5376</v>
      </c>
    </row>
    <row r="929" spans="1:5" x14ac:dyDescent="0.2">
      <c r="A929" t="str">
        <f t="shared" si="14"/>
        <v>Andrew County|Grady County</v>
      </c>
      <c r="B929" t="s">
        <v>11</v>
      </c>
      <c r="C929" t="s">
        <v>8</v>
      </c>
      <c r="D929">
        <v>361.01666666666671</v>
      </c>
      <c r="E929">
        <v>442.69839999999999</v>
      </c>
    </row>
    <row r="930" spans="1:5" x14ac:dyDescent="0.2">
      <c r="A930" t="str">
        <f t="shared" si="14"/>
        <v>Andrew County|Beckham County</v>
      </c>
      <c r="B930" t="s">
        <v>11</v>
      </c>
      <c r="C930" t="s">
        <v>7</v>
      </c>
      <c r="D930">
        <v>413.66666666666669</v>
      </c>
      <c r="E930">
        <v>511.78429999999997</v>
      </c>
    </row>
    <row r="931" spans="1:5" x14ac:dyDescent="0.2">
      <c r="A931" t="str">
        <f t="shared" si="14"/>
        <v>Andrew County|Custer County</v>
      </c>
      <c r="B931" t="s">
        <v>11</v>
      </c>
      <c r="C931" t="s">
        <v>6</v>
      </c>
      <c r="D931">
        <v>394.56666666666672</v>
      </c>
      <c r="E931">
        <v>486.2124</v>
      </c>
    </row>
    <row r="932" spans="1:5" x14ac:dyDescent="0.2">
      <c r="A932" t="str">
        <f t="shared" si="14"/>
        <v>Andrew County|Pontotoc County</v>
      </c>
      <c r="B932" t="s">
        <v>11</v>
      </c>
      <c r="C932" t="s">
        <v>5</v>
      </c>
      <c r="D932">
        <v>388.2</v>
      </c>
      <c r="E932">
        <v>420.70870000000002</v>
      </c>
    </row>
    <row r="933" spans="1:5" x14ac:dyDescent="0.2">
      <c r="A933" t="str">
        <f t="shared" si="14"/>
        <v>Andrew County|McIntosh County</v>
      </c>
      <c r="B933" t="s">
        <v>11</v>
      </c>
      <c r="C933" t="s">
        <v>4</v>
      </c>
      <c r="D933">
        <v>314.96666666666658</v>
      </c>
      <c r="E933">
        <v>338.44600000000003</v>
      </c>
    </row>
    <row r="934" spans="1:5" x14ac:dyDescent="0.2">
      <c r="A934" t="str">
        <f t="shared" si="14"/>
        <v>Andrew County|Carter County Health Department</v>
      </c>
      <c r="B934" t="s">
        <v>11</v>
      </c>
      <c r="C934" t="s">
        <v>3</v>
      </c>
      <c r="D934">
        <v>404.36666666666667</v>
      </c>
      <c r="E934">
        <v>496.57749999999999</v>
      </c>
    </row>
    <row r="935" spans="1:5" x14ac:dyDescent="0.2">
      <c r="A935" t="str">
        <f t="shared" si="14"/>
        <v>Andrew County|Jackson County Altus</v>
      </c>
      <c r="B935" t="s">
        <v>11</v>
      </c>
      <c r="C935" t="s">
        <v>2</v>
      </c>
      <c r="D935">
        <v>441.93333333333328</v>
      </c>
      <c r="E935">
        <v>538.59090000000003</v>
      </c>
    </row>
    <row r="936" spans="1:5" x14ac:dyDescent="0.2">
      <c r="A936" t="str">
        <f t="shared" si="14"/>
        <v>Andrew County|Alliance Health Woodward</v>
      </c>
      <c r="B936" t="s">
        <v>11</v>
      </c>
      <c r="C936" t="s">
        <v>0</v>
      </c>
      <c r="D936">
        <v>375.21666666666658</v>
      </c>
      <c r="E936">
        <v>439.84010000000001</v>
      </c>
    </row>
    <row r="937" spans="1:5" x14ac:dyDescent="0.2">
      <c r="A937" t="str">
        <f t="shared" si="14"/>
        <v>Andrew County|McAlester Regional Health</v>
      </c>
      <c r="B937" t="s">
        <v>11</v>
      </c>
      <c r="C937" t="s">
        <v>1</v>
      </c>
      <c r="D937">
        <v>350.41666666666669</v>
      </c>
      <c r="E937">
        <v>380.16730000000001</v>
      </c>
    </row>
    <row r="938" spans="1:5" x14ac:dyDescent="0.2">
      <c r="A938" t="str">
        <f t="shared" si="14"/>
        <v>Comanche County Memorial Hospital|Oklahoma Mothers’ Milk Bank</v>
      </c>
      <c r="B938" t="s">
        <v>10</v>
      </c>
      <c r="C938" t="s">
        <v>36</v>
      </c>
      <c r="D938">
        <v>80.75</v>
      </c>
      <c r="E938">
        <v>91.350899999999996</v>
      </c>
    </row>
    <row r="939" spans="1:5" x14ac:dyDescent="0.2">
      <c r="A939" t="str">
        <f t="shared" si="14"/>
        <v>Comanche County Memorial Hospital|Integris Southwest</v>
      </c>
      <c r="B939" t="s">
        <v>10</v>
      </c>
      <c r="C939" t="s">
        <v>35</v>
      </c>
      <c r="D939">
        <v>74.483333333333334</v>
      </c>
      <c r="E939">
        <v>84.259799999999998</v>
      </c>
    </row>
    <row r="940" spans="1:5" x14ac:dyDescent="0.2">
      <c r="A940" t="str">
        <f t="shared" si="14"/>
        <v>Comanche County Memorial Hospital|Integris Baptist</v>
      </c>
      <c r="B940" t="s">
        <v>10</v>
      </c>
      <c r="C940" t="s">
        <v>34</v>
      </c>
      <c r="D940">
        <v>78.433333333333337</v>
      </c>
      <c r="E940">
        <v>89.786900000000003</v>
      </c>
    </row>
    <row r="941" spans="1:5" x14ac:dyDescent="0.2">
      <c r="A941" t="str">
        <f t="shared" si="14"/>
        <v>Comanche County Memorial Hospital|Cleveland County Moore</v>
      </c>
      <c r="B941" t="s">
        <v>10</v>
      </c>
      <c r="C941" t="s">
        <v>33</v>
      </c>
      <c r="D941">
        <v>74.150000000000006</v>
      </c>
      <c r="E941">
        <v>81.7637</v>
      </c>
    </row>
    <row r="942" spans="1:5" x14ac:dyDescent="0.2">
      <c r="A942" t="str">
        <f t="shared" si="14"/>
        <v>Comanche County Memorial Hospital|Variety Care- Lafayette</v>
      </c>
      <c r="B942" t="s">
        <v>10</v>
      </c>
      <c r="C942" t="s">
        <v>32</v>
      </c>
      <c r="D942">
        <v>74.666666666666671</v>
      </c>
      <c r="E942">
        <v>84.636300000000006</v>
      </c>
    </row>
    <row r="943" spans="1:5" x14ac:dyDescent="0.2">
      <c r="A943" t="str">
        <f t="shared" si="14"/>
        <v>Comanche County Memorial Hospital|Edmond Hope Center</v>
      </c>
      <c r="B943" t="s">
        <v>10</v>
      </c>
      <c r="C943" t="s">
        <v>31</v>
      </c>
      <c r="D943">
        <v>93.15</v>
      </c>
      <c r="E943">
        <v>102.4132</v>
      </c>
    </row>
    <row r="944" spans="1:5" x14ac:dyDescent="0.2">
      <c r="A944" t="str">
        <f t="shared" si="14"/>
        <v>Comanche County Memorial Hospital|Canadian Valley</v>
      </c>
      <c r="B944" t="s">
        <v>10</v>
      </c>
      <c r="C944" t="s">
        <v>30</v>
      </c>
      <c r="D944">
        <v>82.416666666666671</v>
      </c>
      <c r="E944">
        <v>85.894000000000005</v>
      </c>
    </row>
    <row r="945" spans="1:5" x14ac:dyDescent="0.2">
      <c r="A945" t="str">
        <f t="shared" si="14"/>
        <v>Comanche County Memorial Hospital|St. Anthony Shawnee Hospital</v>
      </c>
      <c r="B945" t="s">
        <v>10</v>
      </c>
      <c r="C945" t="s">
        <v>29</v>
      </c>
      <c r="D945">
        <v>103.4166666666667</v>
      </c>
      <c r="E945">
        <v>118.4271</v>
      </c>
    </row>
    <row r="946" spans="1:5" x14ac:dyDescent="0.2">
      <c r="A946" t="str">
        <f t="shared" si="14"/>
        <v>Comanche County Memorial Hospital|OU Children’s Hospital</v>
      </c>
      <c r="B946" t="s">
        <v>10</v>
      </c>
      <c r="C946" t="s">
        <v>28</v>
      </c>
      <c r="D946">
        <v>81.233333333333334</v>
      </c>
      <c r="E946">
        <v>91.145200000000003</v>
      </c>
    </row>
    <row r="947" spans="1:5" x14ac:dyDescent="0.2">
      <c r="A947" t="str">
        <f t="shared" si="14"/>
        <v>Comanche County Memorial Hospital|OBI</v>
      </c>
      <c r="B947" t="s">
        <v>10</v>
      </c>
      <c r="C947" t="s">
        <v>27</v>
      </c>
      <c r="D947">
        <v>163.81666666666669</v>
      </c>
      <c r="E947">
        <v>194.46809999999999</v>
      </c>
    </row>
    <row r="948" spans="1:5" x14ac:dyDescent="0.2">
      <c r="A948" t="str">
        <f t="shared" si="14"/>
        <v>Comanche County Memorial Hospital|Tulsa Hillcrest Hospital</v>
      </c>
      <c r="B948" t="s">
        <v>10</v>
      </c>
      <c r="C948" t="s">
        <v>26</v>
      </c>
      <c r="D948">
        <v>164.6</v>
      </c>
      <c r="E948">
        <v>194.9409</v>
      </c>
    </row>
    <row r="949" spans="1:5" x14ac:dyDescent="0.2">
      <c r="A949" t="str">
        <f t="shared" si="14"/>
        <v>Comanche County Memorial Hospital|St. John Owasso</v>
      </c>
      <c r="B949" t="s">
        <v>10</v>
      </c>
      <c r="C949" t="s">
        <v>25</v>
      </c>
      <c r="D949">
        <v>179.3</v>
      </c>
      <c r="E949">
        <v>211.14500000000001</v>
      </c>
    </row>
    <row r="950" spans="1:5" x14ac:dyDescent="0.2">
      <c r="A950" t="str">
        <f t="shared" si="14"/>
        <v>Comanche County Memorial Hospital|Jane Phillips Medical Center</v>
      </c>
      <c r="B950" t="s">
        <v>10</v>
      </c>
      <c r="C950" t="s">
        <v>24</v>
      </c>
      <c r="D950">
        <v>201</v>
      </c>
      <c r="E950">
        <v>236.67349999999999</v>
      </c>
    </row>
    <row r="951" spans="1:5" x14ac:dyDescent="0.2">
      <c r="A951" t="str">
        <f t="shared" si="14"/>
        <v>Comanche County Memorial Hospital|YWCA South</v>
      </c>
      <c r="B951" t="s">
        <v>10</v>
      </c>
      <c r="C951" t="s">
        <v>23</v>
      </c>
      <c r="D951">
        <v>163.91666666666671</v>
      </c>
      <c r="E951">
        <v>195.42189999999999</v>
      </c>
    </row>
    <row r="952" spans="1:5" x14ac:dyDescent="0.2">
      <c r="A952" t="str">
        <f t="shared" si="14"/>
        <v>Comanche County Memorial Hospital|YWCA East</v>
      </c>
      <c r="B952" t="s">
        <v>10</v>
      </c>
      <c r="C952" t="s">
        <v>22</v>
      </c>
      <c r="D952">
        <v>167.9</v>
      </c>
      <c r="E952">
        <v>198.25530000000001</v>
      </c>
    </row>
    <row r="953" spans="1:5" x14ac:dyDescent="0.2">
      <c r="A953" t="str">
        <f t="shared" si="14"/>
        <v>Comanche County Memorial Hospital|KUMC - University of Kansas Health System</v>
      </c>
      <c r="B953" t="s">
        <v>10</v>
      </c>
      <c r="C953" t="s">
        <v>21</v>
      </c>
      <c r="D953">
        <v>355</v>
      </c>
      <c r="E953">
        <v>434.04640000000001</v>
      </c>
    </row>
    <row r="954" spans="1:5" x14ac:dyDescent="0.2">
      <c r="A954" t="str">
        <f t="shared" si="14"/>
        <v>Comanche County Memorial Hospital|KUMC - Kansas Health Systems – St. Francis Campus</v>
      </c>
      <c r="B954" t="s">
        <v>10</v>
      </c>
      <c r="C954" t="s">
        <v>20</v>
      </c>
      <c r="D954">
        <v>314.53333333333342</v>
      </c>
      <c r="E954">
        <v>380.48239999999998</v>
      </c>
    </row>
    <row r="955" spans="1:5" x14ac:dyDescent="0.2">
      <c r="A955" t="str">
        <f t="shared" si="14"/>
        <v>Comanche County Memorial Hospital|Shawnee Mission MC</v>
      </c>
      <c r="B955" t="s">
        <v>10</v>
      </c>
      <c r="C955" t="s">
        <v>19</v>
      </c>
      <c r="D955">
        <v>346.61666666666667</v>
      </c>
      <c r="E955">
        <v>425.61189999999999</v>
      </c>
    </row>
    <row r="956" spans="1:5" x14ac:dyDescent="0.2">
      <c r="A956" t="str">
        <f t="shared" si="14"/>
        <v>Comanche County Memorial Hospital|Woven Leaf</v>
      </c>
      <c r="B956" t="s">
        <v>10</v>
      </c>
      <c r="C956" t="s">
        <v>18</v>
      </c>
      <c r="D956">
        <v>281.51666666666671</v>
      </c>
      <c r="E956">
        <v>316.91359999999997</v>
      </c>
    </row>
    <row r="957" spans="1:5" x14ac:dyDescent="0.2">
      <c r="A957" t="str">
        <f t="shared" si="14"/>
        <v>Comanche County Memorial Hospital|Southeast KS Health Department</v>
      </c>
      <c r="B957" t="s">
        <v>10</v>
      </c>
      <c r="C957" t="s">
        <v>17</v>
      </c>
      <c r="D957">
        <v>296.83333333333331</v>
      </c>
      <c r="E957">
        <v>333.92919999999998</v>
      </c>
    </row>
    <row r="958" spans="1:5" x14ac:dyDescent="0.2">
      <c r="A958" t="str">
        <f t="shared" si="14"/>
        <v>Comanche County Memorial Hospital|Salina Regional</v>
      </c>
      <c r="B958" t="s">
        <v>10</v>
      </c>
      <c r="C958" t="s">
        <v>16</v>
      </c>
      <c r="D958">
        <v>280.23333333333329</v>
      </c>
      <c r="E958">
        <v>335.18130000000002</v>
      </c>
    </row>
    <row r="959" spans="1:5" x14ac:dyDescent="0.2">
      <c r="A959" t="str">
        <f t="shared" si="14"/>
        <v>Comanche County Memorial Hospital|Kansas Birth Justice Society</v>
      </c>
      <c r="B959" t="s">
        <v>10</v>
      </c>
      <c r="C959" t="s">
        <v>15</v>
      </c>
      <c r="D959">
        <v>207.73333333333329</v>
      </c>
      <c r="E959">
        <v>247.98050000000001</v>
      </c>
    </row>
    <row r="960" spans="1:5" x14ac:dyDescent="0.2">
      <c r="A960" t="str">
        <f t="shared" si="14"/>
        <v>Comanche County Memorial Hospital|Flint Hills- Riley County Health Department</v>
      </c>
      <c r="B960" t="s">
        <v>10</v>
      </c>
      <c r="C960" t="s">
        <v>14</v>
      </c>
      <c r="D960">
        <v>322.39999999999998</v>
      </c>
      <c r="E960">
        <v>378.28890000000001</v>
      </c>
    </row>
    <row r="961" spans="1:5" x14ac:dyDescent="0.2">
      <c r="A961" t="str">
        <f t="shared" si="14"/>
        <v>Comanche County Memorial Hospital|Washington Regional Medical Center</v>
      </c>
      <c r="B961" t="s">
        <v>10</v>
      </c>
      <c r="C961" t="s">
        <v>13</v>
      </c>
      <c r="D961">
        <v>263.85000000000002</v>
      </c>
      <c r="E961">
        <v>302.67919999999998</v>
      </c>
    </row>
    <row r="962" spans="1:5" x14ac:dyDescent="0.2">
      <c r="A962" t="str">
        <f t="shared" ref="A962:A1025" si="15">CONCATENATE(B962,"|",C962)</f>
        <v>Comanche County Memorial Hospital|South Central Medical Center</v>
      </c>
      <c r="B962" t="s">
        <v>10</v>
      </c>
      <c r="C962" t="s">
        <v>12</v>
      </c>
      <c r="D962">
        <v>68.533333333333331</v>
      </c>
      <c r="E962">
        <v>70.599000000000004</v>
      </c>
    </row>
    <row r="963" spans="1:5" x14ac:dyDescent="0.2">
      <c r="A963" t="str">
        <f t="shared" si="15"/>
        <v>Comanche County Memorial Hospital|Andrew County</v>
      </c>
      <c r="B963" t="s">
        <v>10</v>
      </c>
      <c r="C963" t="s">
        <v>11</v>
      </c>
      <c r="D963">
        <v>397.43333333333328</v>
      </c>
      <c r="E963">
        <v>487.74099999999999</v>
      </c>
    </row>
    <row r="964" spans="1:5" x14ac:dyDescent="0.2">
      <c r="A964" t="str">
        <f t="shared" si="15"/>
        <v>Comanche County Memorial Hospital|Garfield County Health Department</v>
      </c>
      <c r="B964" t="s">
        <v>10</v>
      </c>
      <c r="C964" t="s">
        <v>9</v>
      </c>
      <c r="D964">
        <v>148.80000000000001</v>
      </c>
      <c r="E964">
        <v>144.75280000000001</v>
      </c>
    </row>
    <row r="965" spans="1:5" x14ac:dyDescent="0.2">
      <c r="A965" t="str">
        <f t="shared" si="15"/>
        <v>Comanche County Memorial Hospital|Grady County</v>
      </c>
      <c r="B965" t="s">
        <v>10</v>
      </c>
      <c r="C965" t="s">
        <v>8</v>
      </c>
      <c r="D965">
        <v>47.35</v>
      </c>
      <c r="E965">
        <v>48.413499999999999</v>
      </c>
    </row>
    <row r="966" spans="1:5" x14ac:dyDescent="0.2">
      <c r="A966" t="str">
        <f t="shared" si="15"/>
        <v>Comanche County Memorial Hospital|Beckham County</v>
      </c>
      <c r="B966" t="s">
        <v>10</v>
      </c>
      <c r="C966" t="s">
        <v>7</v>
      </c>
      <c r="D966">
        <v>104.5833333333333</v>
      </c>
      <c r="E966">
        <v>107.0616</v>
      </c>
    </row>
    <row r="967" spans="1:5" x14ac:dyDescent="0.2">
      <c r="A967" t="str">
        <f t="shared" si="15"/>
        <v>Comanche County Memorial Hospital|Custer County</v>
      </c>
      <c r="B967" t="s">
        <v>10</v>
      </c>
      <c r="C967" t="s">
        <v>6</v>
      </c>
      <c r="D967">
        <v>94.983333333333334</v>
      </c>
      <c r="E967">
        <v>96.598399999999998</v>
      </c>
    </row>
    <row r="968" spans="1:5" x14ac:dyDescent="0.2">
      <c r="A968" t="str">
        <f t="shared" si="15"/>
        <v>Comanche County Memorial Hospital|Pontotoc County</v>
      </c>
      <c r="B968" t="s">
        <v>10</v>
      </c>
      <c r="C968" t="s">
        <v>5</v>
      </c>
      <c r="D968">
        <v>128.1333333333333</v>
      </c>
      <c r="E968">
        <v>118.0904</v>
      </c>
    </row>
    <row r="969" spans="1:5" x14ac:dyDescent="0.2">
      <c r="A969" t="str">
        <f t="shared" si="15"/>
        <v>Comanche County Memorial Hospital|McIntosh County</v>
      </c>
      <c r="B969" t="s">
        <v>10</v>
      </c>
      <c r="C969" t="s">
        <v>4</v>
      </c>
      <c r="D969">
        <v>164.8666666666667</v>
      </c>
      <c r="E969">
        <v>198.07640000000001</v>
      </c>
    </row>
    <row r="970" spans="1:5" x14ac:dyDescent="0.2">
      <c r="A970" t="str">
        <f t="shared" si="15"/>
        <v>Comanche County Memorial Hospital|Carter County Health Department</v>
      </c>
      <c r="B970" t="s">
        <v>10</v>
      </c>
      <c r="C970" t="s">
        <v>3</v>
      </c>
      <c r="D970">
        <v>106.3833333333333</v>
      </c>
      <c r="E970">
        <v>105.17829999999999</v>
      </c>
    </row>
    <row r="971" spans="1:5" x14ac:dyDescent="0.2">
      <c r="A971" t="str">
        <f t="shared" si="15"/>
        <v>Comanche County Memorial Hospital|Jackson County Altus</v>
      </c>
      <c r="B971" t="s">
        <v>10</v>
      </c>
      <c r="C971" t="s">
        <v>2</v>
      </c>
      <c r="D971">
        <v>54.9</v>
      </c>
      <c r="E971">
        <v>54.646500000000003</v>
      </c>
    </row>
    <row r="972" spans="1:5" x14ac:dyDescent="0.2">
      <c r="A972" t="str">
        <f t="shared" si="15"/>
        <v>Comanche County Memorial Hospital|Alliance Health Woodward</v>
      </c>
      <c r="B972" t="s">
        <v>10</v>
      </c>
      <c r="C972" t="s">
        <v>0</v>
      </c>
      <c r="D972">
        <v>166.4666666666667</v>
      </c>
      <c r="E972">
        <v>173.09229999999999</v>
      </c>
    </row>
    <row r="973" spans="1:5" x14ac:dyDescent="0.2">
      <c r="A973" t="str">
        <f t="shared" si="15"/>
        <v>Comanche County Memorial Hospital|McAlester Regional Health</v>
      </c>
      <c r="B973" t="s">
        <v>10</v>
      </c>
      <c r="C973" t="s">
        <v>1</v>
      </c>
      <c r="D973">
        <v>178.98333333333329</v>
      </c>
      <c r="E973">
        <v>212.3766</v>
      </c>
    </row>
    <row r="974" spans="1:5" x14ac:dyDescent="0.2">
      <c r="A974" t="str">
        <f t="shared" si="15"/>
        <v>Garfield County Health Department|Oklahoma Mothers’ Milk Bank</v>
      </c>
      <c r="B974" t="s">
        <v>9</v>
      </c>
      <c r="C974" t="s">
        <v>36</v>
      </c>
      <c r="D974">
        <v>88.75</v>
      </c>
      <c r="E974">
        <v>86.107799999999997</v>
      </c>
    </row>
    <row r="975" spans="1:5" x14ac:dyDescent="0.2">
      <c r="A975" t="str">
        <f t="shared" si="15"/>
        <v>Garfield County Health Department|Integris Southwest</v>
      </c>
      <c r="B975" t="s">
        <v>9</v>
      </c>
      <c r="C975" t="s">
        <v>35</v>
      </c>
      <c r="D975">
        <v>87.333333333333329</v>
      </c>
      <c r="E975">
        <v>86.206599999999995</v>
      </c>
    </row>
    <row r="976" spans="1:5" x14ac:dyDescent="0.2">
      <c r="A976" t="str">
        <f t="shared" si="15"/>
        <v>Garfield County Health Department|Integris Baptist</v>
      </c>
      <c r="B976" t="s">
        <v>9</v>
      </c>
      <c r="C976" t="s">
        <v>34</v>
      </c>
      <c r="D976">
        <v>78.36666666666666</v>
      </c>
      <c r="E976">
        <v>76.657899999999998</v>
      </c>
    </row>
    <row r="977" spans="1:5" x14ac:dyDescent="0.2">
      <c r="A977" t="str">
        <f t="shared" si="15"/>
        <v>Garfield County Health Department|Cleveland County Moore</v>
      </c>
      <c r="B977" t="s">
        <v>9</v>
      </c>
      <c r="C977" t="s">
        <v>33</v>
      </c>
      <c r="D977">
        <v>96.266666666666666</v>
      </c>
      <c r="E977">
        <v>95.381699999999995</v>
      </c>
    </row>
    <row r="978" spans="1:5" x14ac:dyDescent="0.2">
      <c r="A978" t="str">
        <f t="shared" si="15"/>
        <v>Garfield County Health Department|Variety Care- Lafayette</v>
      </c>
      <c r="B978" t="s">
        <v>9</v>
      </c>
      <c r="C978" t="s">
        <v>32</v>
      </c>
      <c r="D978">
        <v>89.15</v>
      </c>
      <c r="E978">
        <v>86.878299999999996</v>
      </c>
    </row>
    <row r="979" spans="1:5" x14ac:dyDescent="0.2">
      <c r="A979" t="str">
        <f t="shared" si="15"/>
        <v>Garfield County Health Department|Edmond Hope Center</v>
      </c>
      <c r="B979" t="s">
        <v>9</v>
      </c>
      <c r="C979" t="s">
        <v>31</v>
      </c>
      <c r="D979">
        <v>76.266666666666666</v>
      </c>
      <c r="E979">
        <v>72.465599999999995</v>
      </c>
    </row>
    <row r="980" spans="1:5" x14ac:dyDescent="0.2">
      <c r="A980" t="str">
        <f t="shared" si="15"/>
        <v>Garfield County Health Department|Canadian Valley</v>
      </c>
      <c r="B980" t="s">
        <v>9</v>
      </c>
      <c r="C980" t="s">
        <v>30</v>
      </c>
      <c r="D980">
        <v>79.3</v>
      </c>
      <c r="E980">
        <v>71.758399999999995</v>
      </c>
    </row>
    <row r="981" spans="1:5" x14ac:dyDescent="0.2">
      <c r="A981" t="str">
        <f t="shared" si="15"/>
        <v>Garfield County Health Department|St. Anthony Shawnee Hospital</v>
      </c>
      <c r="B981" t="s">
        <v>9</v>
      </c>
      <c r="C981" t="s">
        <v>29</v>
      </c>
      <c r="D981">
        <v>118.48333333333331</v>
      </c>
      <c r="E981">
        <v>128.94880000000001</v>
      </c>
    </row>
    <row r="982" spans="1:5" x14ac:dyDescent="0.2">
      <c r="A982" t="str">
        <f t="shared" si="15"/>
        <v>Garfield County Health Department|OU Children’s Hospital</v>
      </c>
      <c r="B982" t="s">
        <v>9</v>
      </c>
      <c r="C982" t="s">
        <v>28</v>
      </c>
      <c r="D982">
        <v>90.2</v>
      </c>
      <c r="E982">
        <v>86.25</v>
      </c>
    </row>
    <row r="983" spans="1:5" x14ac:dyDescent="0.2">
      <c r="A983" t="str">
        <f t="shared" si="15"/>
        <v>Garfield County Health Department|OBI</v>
      </c>
      <c r="B983" t="s">
        <v>9</v>
      </c>
      <c r="C983" t="s">
        <v>27</v>
      </c>
      <c r="D983">
        <v>114.6166666666667</v>
      </c>
      <c r="E983">
        <v>128.8569</v>
      </c>
    </row>
    <row r="984" spans="1:5" x14ac:dyDescent="0.2">
      <c r="A984" t="str">
        <f t="shared" si="15"/>
        <v>Garfield County Health Department|Tulsa Hillcrest Hospital</v>
      </c>
      <c r="B984" t="s">
        <v>9</v>
      </c>
      <c r="C984" t="s">
        <v>26</v>
      </c>
      <c r="D984">
        <v>105.7</v>
      </c>
      <c r="E984">
        <v>119.73569999999999</v>
      </c>
    </row>
    <row r="985" spans="1:5" x14ac:dyDescent="0.2">
      <c r="A985" t="str">
        <f t="shared" si="15"/>
        <v>Garfield County Health Department|St. John Owasso</v>
      </c>
      <c r="B985" t="s">
        <v>9</v>
      </c>
      <c r="C985" t="s">
        <v>25</v>
      </c>
      <c r="D985">
        <v>118.6666666666667</v>
      </c>
      <c r="E985">
        <v>135.03139999999999</v>
      </c>
    </row>
    <row r="986" spans="1:5" x14ac:dyDescent="0.2">
      <c r="A986" t="str">
        <f t="shared" si="15"/>
        <v>Garfield County Health Department|Jane Phillips Medical Center</v>
      </c>
      <c r="B986" t="s">
        <v>9</v>
      </c>
      <c r="C986" t="s">
        <v>24</v>
      </c>
      <c r="D986">
        <v>147.83333333333329</v>
      </c>
      <c r="E986">
        <v>148.82400000000001</v>
      </c>
    </row>
    <row r="987" spans="1:5" x14ac:dyDescent="0.2">
      <c r="A987" t="str">
        <f t="shared" si="15"/>
        <v>Garfield County Health Department|YWCA South</v>
      </c>
      <c r="B987" t="s">
        <v>9</v>
      </c>
      <c r="C987" t="s">
        <v>23</v>
      </c>
      <c r="D987">
        <v>104.73333333333331</v>
      </c>
      <c r="E987">
        <v>120.405</v>
      </c>
    </row>
    <row r="988" spans="1:5" x14ac:dyDescent="0.2">
      <c r="A988" t="str">
        <f t="shared" si="15"/>
        <v>Garfield County Health Department|YWCA East</v>
      </c>
      <c r="B988" t="s">
        <v>9</v>
      </c>
      <c r="C988" t="s">
        <v>22</v>
      </c>
      <c r="D988">
        <v>110.05</v>
      </c>
      <c r="E988">
        <v>125.08329999999999</v>
      </c>
    </row>
    <row r="989" spans="1:5" x14ac:dyDescent="0.2">
      <c r="A989" t="str">
        <f t="shared" si="15"/>
        <v>Garfield County Health Department|KUMC - University of Kansas Health System</v>
      </c>
      <c r="B989" t="s">
        <v>9</v>
      </c>
      <c r="C989" t="s">
        <v>21</v>
      </c>
      <c r="D989">
        <v>257.16666666666669</v>
      </c>
      <c r="E989">
        <v>311.09820000000002</v>
      </c>
    </row>
    <row r="990" spans="1:5" x14ac:dyDescent="0.2">
      <c r="A990" t="str">
        <f t="shared" si="15"/>
        <v>Garfield County Health Department|KUMC - Kansas Health Systems – St. Francis Campus</v>
      </c>
      <c r="B990" t="s">
        <v>9</v>
      </c>
      <c r="C990" t="s">
        <v>20</v>
      </c>
      <c r="D990">
        <v>216.7</v>
      </c>
      <c r="E990">
        <v>257.53410000000002</v>
      </c>
    </row>
    <row r="991" spans="1:5" x14ac:dyDescent="0.2">
      <c r="A991" t="str">
        <f t="shared" si="15"/>
        <v>Garfield County Health Department|Shawnee Mission MC</v>
      </c>
      <c r="B991" t="s">
        <v>9</v>
      </c>
      <c r="C991" t="s">
        <v>19</v>
      </c>
      <c r="D991">
        <v>248.7833333333333</v>
      </c>
      <c r="E991">
        <v>302.66370000000001</v>
      </c>
    </row>
    <row r="992" spans="1:5" x14ac:dyDescent="0.2">
      <c r="A992" t="str">
        <f t="shared" si="15"/>
        <v>Garfield County Health Department|Woven Leaf</v>
      </c>
      <c r="B992" t="s">
        <v>9</v>
      </c>
      <c r="C992" t="s">
        <v>18</v>
      </c>
      <c r="D992">
        <v>203.4666666666667</v>
      </c>
      <c r="E992">
        <v>227.69839999999999</v>
      </c>
    </row>
    <row r="993" spans="1:5" x14ac:dyDescent="0.2">
      <c r="A993" t="str">
        <f t="shared" si="15"/>
        <v>Garfield County Health Department|Southeast KS Health Department</v>
      </c>
      <c r="B993" t="s">
        <v>9</v>
      </c>
      <c r="C993" t="s">
        <v>17</v>
      </c>
      <c r="D993">
        <v>205.51666666666671</v>
      </c>
      <c r="E993">
        <v>230.62809999999999</v>
      </c>
    </row>
    <row r="994" spans="1:5" x14ac:dyDescent="0.2">
      <c r="A994" t="str">
        <f t="shared" si="15"/>
        <v>Garfield County Health Department|Salina Regional</v>
      </c>
      <c r="B994" t="s">
        <v>9</v>
      </c>
      <c r="C994" t="s">
        <v>16</v>
      </c>
      <c r="D994">
        <v>182.4</v>
      </c>
      <c r="E994">
        <v>212.23310000000001</v>
      </c>
    </row>
    <row r="995" spans="1:5" x14ac:dyDescent="0.2">
      <c r="A995" t="str">
        <f t="shared" si="15"/>
        <v>Garfield County Health Department|Kansas Birth Justice Society</v>
      </c>
      <c r="B995" t="s">
        <v>9</v>
      </c>
      <c r="C995" t="s">
        <v>15</v>
      </c>
      <c r="D995">
        <v>109.9</v>
      </c>
      <c r="E995">
        <v>125.03230000000001</v>
      </c>
    </row>
    <row r="996" spans="1:5" x14ac:dyDescent="0.2">
      <c r="A996" t="str">
        <f t="shared" si="15"/>
        <v>Garfield County Health Department|Flint Hills- Riley County Health Department</v>
      </c>
      <c r="B996" t="s">
        <v>9</v>
      </c>
      <c r="C996" t="s">
        <v>14</v>
      </c>
      <c r="D996">
        <v>224.56666666666669</v>
      </c>
      <c r="E996">
        <v>255.3407</v>
      </c>
    </row>
    <row r="997" spans="1:5" x14ac:dyDescent="0.2">
      <c r="A997" t="str">
        <f t="shared" si="15"/>
        <v>Garfield County Health Department|Washington Regional Medical Center</v>
      </c>
      <c r="B997" t="s">
        <v>9</v>
      </c>
      <c r="C997" t="s">
        <v>13</v>
      </c>
      <c r="D997">
        <v>204.95</v>
      </c>
      <c r="E997">
        <v>228.065</v>
      </c>
    </row>
    <row r="998" spans="1:5" x14ac:dyDescent="0.2">
      <c r="A998" t="str">
        <f t="shared" si="15"/>
        <v>Garfield County Health Department|South Central Medical Center</v>
      </c>
      <c r="B998" t="s">
        <v>9</v>
      </c>
      <c r="C998" t="s">
        <v>12</v>
      </c>
      <c r="D998">
        <v>132</v>
      </c>
      <c r="E998">
        <v>129.03700000000001</v>
      </c>
    </row>
    <row r="999" spans="1:5" x14ac:dyDescent="0.2">
      <c r="A999" t="str">
        <f t="shared" si="15"/>
        <v>Garfield County Health Department|Andrew County</v>
      </c>
      <c r="B999" t="s">
        <v>9</v>
      </c>
      <c r="C999" t="s">
        <v>11</v>
      </c>
      <c r="D999">
        <v>299.60000000000002</v>
      </c>
      <c r="E999">
        <v>364.79270000000002</v>
      </c>
    </row>
    <row r="1000" spans="1:5" x14ac:dyDescent="0.2">
      <c r="A1000" t="str">
        <f t="shared" si="15"/>
        <v>Garfield County Health Department|Comanche County Memorial Hospital</v>
      </c>
      <c r="B1000" t="s">
        <v>9</v>
      </c>
      <c r="C1000" t="s">
        <v>10</v>
      </c>
      <c r="D1000">
        <v>147.08333333333329</v>
      </c>
      <c r="E1000">
        <v>142.4872</v>
      </c>
    </row>
    <row r="1001" spans="1:5" x14ac:dyDescent="0.2">
      <c r="A1001" t="str">
        <f t="shared" si="15"/>
        <v>Garfield County Health Department|Grady County</v>
      </c>
      <c r="B1001" t="s">
        <v>9</v>
      </c>
      <c r="C1001" t="s">
        <v>8</v>
      </c>
      <c r="D1001">
        <v>104.1166666666667</v>
      </c>
      <c r="E1001">
        <v>95.658900000000003</v>
      </c>
    </row>
    <row r="1002" spans="1:5" x14ac:dyDescent="0.2">
      <c r="A1002" t="str">
        <f t="shared" si="15"/>
        <v>Garfield County Health Department|Beckham County</v>
      </c>
      <c r="B1002" t="s">
        <v>9</v>
      </c>
      <c r="C1002" t="s">
        <v>7</v>
      </c>
      <c r="D1002">
        <v>134.66666666666671</v>
      </c>
      <c r="E1002">
        <v>141.23830000000001</v>
      </c>
    </row>
    <row r="1003" spans="1:5" x14ac:dyDescent="0.2">
      <c r="A1003" t="str">
        <f t="shared" si="15"/>
        <v>Garfield County Health Department|Custer County</v>
      </c>
      <c r="B1003" t="s">
        <v>9</v>
      </c>
      <c r="C1003" t="s">
        <v>6</v>
      </c>
      <c r="D1003">
        <v>113.76666666666669</v>
      </c>
      <c r="E1003">
        <v>111.38200000000001</v>
      </c>
    </row>
    <row r="1004" spans="1:5" x14ac:dyDescent="0.2">
      <c r="A1004" t="str">
        <f t="shared" si="15"/>
        <v>Garfield County Health Department|Pontotoc County</v>
      </c>
      <c r="B1004" t="s">
        <v>9</v>
      </c>
      <c r="C1004" t="s">
        <v>5</v>
      </c>
      <c r="D1004">
        <v>164.35</v>
      </c>
      <c r="E1004">
        <v>182.07480000000001</v>
      </c>
    </row>
    <row r="1005" spans="1:5" x14ac:dyDescent="0.2">
      <c r="A1005" t="str">
        <f t="shared" si="15"/>
        <v>Garfield County Health Department|McIntosh County</v>
      </c>
      <c r="B1005" t="s">
        <v>9</v>
      </c>
      <c r="C1005" t="s">
        <v>4</v>
      </c>
      <c r="D1005">
        <v>164.76666666666671</v>
      </c>
      <c r="E1005">
        <v>186.4486</v>
      </c>
    </row>
    <row r="1006" spans="1:5" x14ac:dyDescent="0.2">
      <c r="A1006" t="str">
        <f t="shared" si="15"/>
        <v>Garfield County Health Department|Carter County Health Department</v>
      </c>
      <c r="B1006" t="s">
        <v>9</v>
      </c>
      <c r="C1006" t="s">
        <v>3</v>
      </c>
      <c r="D1006">
        <v>172.66666666666671</v>
      </c>
      <c r="E1006">
        <v>182.68870000000001</v>
      </c>
    </row>
    <row r="1007" spans="1:5" x14ac:dyDescent="0.2">
      <c r="A1007" t="str">
        <f t="shared" si="15"/>
        <v>Garfield County Health Department|Jackson County Altus</v>
      </c>
      <c r="B1007" t="s">
        <v>9</v>
      </c>
      <c r="C1007" t="s">
        <v>2</v>
      </c>
      <c r="D1007">
        <v>180.83333333333329</v>
      </c>
      <c r="E1007">
        <v>185.9633</v>
      </c>
    </row>
    <row r="1008" spans="1:5" x14ac:dyDescent="0.2">
      <c r="A1008" t="str">
        <f t="shared" si="15"/>
        <v>Garfield County Health Department|Alliance Health Woodward</v>
      </c>
      <c r="B1008" t="s">
        <v>9</v>
      </c>
      <c r="C1008" t="s">
        <v>0</v>
      </c>
      <c r="D1008">
        <v>86.466666666666669</v>
      </c>
      <c r="E1008">
        <v>88.9953</v>
      </c>
    </row>
    <row r="1009" spans="1:5" x14ac:dyDescent="0.2">
      <c r="A1009" t="str">
        <f t="shared" si="15"/>
        <v>Garfield County Health Department|McAlester Regional Health</v>
      </c>
      <c r="B1009" t="s">
        <v>9</v>
      </c>
      <c r="C1009" t="s">
        <v>1</v>
      </c>
      <c r="D1009">
        <v>186.08333333333329</v>
      </c>
      <c r="E1009">
        <v>208.0463</v>
      </c>
    </row>
    <row r="1010" spans="1:5" x14ac:dyDescent="0.2">
      <c r="A1010" t="str">
        <f t="shared" si="15"/>
        <v>Grady County|Oklahoma Mothers’ Milk Bank</v>
      </c>
      <c r="B1010" t="s">
        <v>8</v>
      </c>
      <c r="C1010" t="s">
        <v>36</v>
      </c>
      <c r="D1010">
        <v>45.533333333333331</v>
      </c>
      <c r="E1010">
        <v>47.216799999999999</v>
      </c>
    </row>
    <row r="1011" spans="1:5" x14ac:dyDescent="0.2">
      <c r="A1011" t="str">
        <f t="shared" si="15"/>
        <v>Grady County|Integris Southwest</v>
      </c>
      <c r="B1011" t="s">
        <v>8</v>
      </c>
      <c r="C1011" t="s">
        <v>35</v>
      </c>
      <c r="D1011">
        <v>39.266666666666673</v>
      </c>
      <c r="E1011">
        <v>40.125700000000002</v>
      </c>
    </row>
    <row r="1012" spans="1:5" x14ac:dyDescent="0.2">
      <c r="A1012" t="str">
        <f t="shared" si="15"/>
        <v>Grady County|Integris Baptist</v>
      </c>
      <c r="B1012" t="s">
        <v>8</v>
      </c>
      <c r="C1012" t="s">
        <v>34</v>
      </c>
      <c r="D1012">
        <v>43.216666666666669</v>
      </c>
      <c r="E1012">
        <v>45.652799999999999</v>
      </c>
    </row>
    <row r="1013" spans="1:5" x14ac:dyDescent="0.2">
      <c r="A1013" t="str">
        <f t="shared" si="15"/>
        <v>Grady County|Cleveland County Moore</v>
      </c>
      <c r="B1013" t="s">
        <v>8</v>
      </c>
      <c r="C1013" t="s">
        <v>33</v>
      </c>
      <c r="D1013">
        <v>38.93333333333333</v>
      </c>
      <c r="E1013">
        <v>37.629600000000003</v>
      </c>
    </row>
    <row r="1014" spans="1:5" x14ac:dyDescent="0.2">
      <c r="A1014" t="str">
        <f t="shared" si="15"/>
        <v>Grady County|Variety Care- Lafayette</v>
      </c>
      <c r="B1014" t="s">
        <v>8</v>
      </c>
      <c r="C1014" t="s">
        <v>32</v>
      </c>
      <c r="D1014">
        <v>39.450000000000003</v>
      </c>
      <c r="E1014">
        <v>40.502200000000002</v>
      </c>
    </row>
    <row r="1015" spans="1:5" x14ac:dyDescent="0.2">
      <c r="A1015" t="str">
        <f t="shared" si="15"/>
        <v>Grady County|Edmond Hope Center</v>
      </c>
      <c r="B1015" t="s">
        <v>8</v>
      </c>
      <c r="C1015" t="s">
        <v>31</v>
      </c>
      <c r="D1015">
        <v>57.93333333333333</v>
      </c>
      <c r="E1015">
        <v>58.279000000000003</v>
      </c>
    </row>
    <row r="1016" spans="1:5" x14ac:dyDescent="0.2">
      <c r="A1016" t="str">
        <f t="shared" si="15"/>
        <v>Grady County|Canadian Valley</v>
      </c>
      <c r="B1016" t="s">
        <v>8</v>
      </c>
      <c r="C1016" t="s">
        <v>30</v>
      </c>
      <c r="D1016">
        <v>45.533333333333331</v>
      </c>
      <c r="E1016">
        <v>43.653199999999998</v>
      </c>
    </row>
    <row r="1017" spans="1:5" x14ac:dyDescent="0.2">
      <c r="A1017" t="str">
        <f t="shared" si="15"/>
        <v>Grady County|St. Anthony Shawnee Hospital</v>
      </c>
      <c r="B1017" t="s">
        <v>8</v>
      </c>
      <c r="C1017" t="s">
        <v>29</v>
      </c>
      <c r="D1017">
        <v>68.2</v>
      </c>
      <c r="E1017">
        <v>74.293000000000006</v>
      </c>
    </row>
    <row r="1018" spans="1:5" x14ac:dyDescent="0.2">
      <c r="A1018" t="str">
        <f t="shared" si="15"/>
        <v>Grady County|OU Children’s Hospital</v>
      </c>
      <c r="B1018" t="s">
        <v>8</v>
      </c>
      <c r="C1018" t="s">
        <v>28</v>
      </c>
      <c r="D1018">
        <v>46.016666666666673</v>
      </c>
      <c r="E1018">
        <v>47.011099999999999</v>
      </c>
    </row>
    <row r="1019" spans="1:5" x14ac:dyDescent="0.2">
      <c r="A1019" t="str">
        <f t="shared" si="15"/>
        <v>Grady County|OBI</v>
      </c>
      <c r="B1019" t="s">
        <v>8</v>
      </c>
      <c r="C1019" t="s">
        <v>27</v>
      </c>
      <c r="D1019">
        <v>128.6</v>
      </c>
      <c r="E1019">
        <v>150.3339</v>
      </c>
    </row>
    <row r="1020" spans="1:5" x14ac:dyDescent="0.2">
      <c r="A1020" t="str">
        <f t="shared" si="15"/>
        <v>Grady County|Tulsa Hillcrest Hospital</v>
      </c>
      <c r="B1020" t="s">
        <v>8</v>
      </c>
      <c r="C1020" t="s">
        <v>26</v>
      </c>
      <c r="D1020">
        <v>129.3833333333333</v>
      </c>
      <c r="E1020">
        <v>150.80680000000001</v>
      </c>
    </row>
    <row r="1021" spans="1:5" x14ac:dyDescent="0.2">
      <c r="A1021" t="str">
        <f t="shared" si="15"/>
        <v>Grady County|St. John Owasso</v>
      </c>
      <c r="B1021" t="s">
        <v>8</v>
      </c>
      <c r="C1021" t="s">
        <v>25</v>
      </c>
      <c r="D1021">
        <v>144.08333333333329</v>
      </c>
      <c r="E1021">
        <v>167.01089999999999</v>
      </c>
    </row>
    <row r="1022" spans="1:5" x14ac:dyDescent="0.2">
      <c r="A1022" t="str">
        <f t="shared" si="15"/>
        <v>Grady County|Jane Phillips Medical Center</v>
      </c>
      <c r="B1022" t="s">
        <v>8</v>
      </c>
      <c r="C1022" t="s">
        <v>24</v>
      </c>
      <c r="D1022">
        <v>165.7833333333333</v>
      </c>
      <c r="E1022">
        <v>192.5393</v>
      </c>
    </row>
    <row r="1023" spans="1:5" x14ac:dyDescent="0.2">
      <c r="A1023" t="str">
        <f t="shared" si="15"/>
        <v>Grady County|YWCA South</v>
      </c>
      <c r="B1023" t="s">
        <v>8</v>
      </c>
      <c r="C1023" t="s">
        <v>23</v>
      </c>
      <c r="D1023">
        <v>128.69999999999999</v>
      </c>
      <c r="E1023">
        <v>151.2877</v>
      </c>
    </row>
    <row r="1024" spans="1:5" x14ac:dyDescent="0.2">
      <c r="A1024" t="str">
        <f t="shared" si="15"/>
        <v>Grady County|YWCA East</v>
      </c>
      <c r="B1024" t="s">
        <v>8</v>
      </c>
      <c r="C1024" t="s">
        <v>22</v>
      </c>
      <c r="D1024">
        <v>132.68333333333331</v>
      </c>
      <c r="E1024">
        <v>154.12119999999999</v>
      </c>
    </row>
    <row r="1025" spans="1:5" x14ac:dyDescent="0.2">
      <c r="A1025" t="str">
        <f t="shared" si="15"/>
        <v>Grady County|KUMC - University of Kansas Health System</v>
      </c>
      <c r="B1025" t="s">
        <v>8</v>
      </c>
      <c r="C1025" t="s">
        <v>21</v>
      </c>
      <c r="D1025">
        <v>319.78333333333342</v>
      </c>
      <c r="E1025">
        <v>389.91230000000002</v>
      </c>
    </row>
    <row r="1026" spans="1:5" x14ac:dyDescent="0.2">
      <c r="A1026" t="str">
        <f t="shared" ref="A1026:A1089" si="16">CONCATENATE(B1026,"|",C1026)</f>
        <v>Grady County|KUMC - Kansas Health Systems – St. Francis Campus</v>
      </c>
      <c r="B1026" t="s">
        <v>8</v>
      </c>
      <c r="C1026" t="s">
        <v>20</v>
      </c>
      <c r="D1026">
        <v>279.31666666666672</v>
      </c>
      <c r="E1026">
        <v>336.34820000000002</v>
      </c>
    </row>
    <row r="1027" spans="1:5" x14ac:dyDescent="0.2">
      <c r="A1027" t="str">
        <f t="shared" si="16"/>
        <v>Grady County|Shawnee Mission MC</v>
      </c>
      <c r="B1027" t="s">
        <v>8</v>
      </c>
      <c r="C1027" t="s">
        <v>19</v>
      </c>
      <c r="D1027">
        <v>311.39999999999998</v>
      </c>
      <c r="E1027">
        <v>381.4778</v>
      </c>
    </row>
    <row r="1028" spans="1:5" x14ac:dyDescent="0.2">
      <c r="A1028" t="str">
        <f t="shared" si="16"/>
        <v>Grady County|Woven Leaf</v>
      </c>
      <c r="B1028" t="s">
        <v>8</v>
      </c>
      <c r="C1028" t="s">
        <v>18</v>
      </c>
      <c r="D1028">
        <v>246.3</v>
      </c>
      <c r="E1028">
        <v>272.77949999999998</v>
      </c>
    </row>
    <row r="1029" spans="1:5" x14ac:dyDescent="0.2">
      <c r="A1029" t="str">
        <f t="shared" si="16"/>
        <v>Grady County|Southeast KS Health Department</v>
      </c>
      <c r="B1029" t="s">
        <v>8</v>
      </c>
      <c r="C1029" t="s">
        <v>17</v>
      </c>
      <c r="D1029">
        <v>261.61666666666667</v>
      </c>
      <c r="E1029">
        <v>289.79509999999999</v>
      </c>
    </row>
    <row r="1030" spans="1:5" x14ac:dyDescent="0.2">
      <c r="A1030" t="str">
        <f t="shared" si="16"/>
        <v>Grady County|Salina Regional</v>
      </c>
      <c r="B1030" t="s">
        <v>8</v>
      </c>
      <c r="C1030" t="s">
        <v>16</v>
      </c>
      <c r="D1030">
        <v>245.01666666666671</v>
      </c>
      <c r="E1030">
        <v>291.04719999999998</v>
      </c>
    </row>
    <row r="1031" spans="1:5" x14ac:dyDescent="0.2">
      <c r="A1031" t="str">
        <f t="shared" si="16"/>
        <v>Grady County|Kansas Birth Justice Society</v>
      </c>
      <c r="B1031" t="s">
        <v>8</v>
      </c>
      <c r="C1031" t="s">
        <v>15</v>
      </c>
      <c r="D1031">
        <v>172.51666666666671</v>
      </c>
      <c r="E1031">
        <v>203.84639999999999</v>
      </c>
    </row>
    <row r="1032" spans="1:5" x14ac:dyDescent="0.2">
      <c r="A1032" t="str">
        <f t="shared" si="16"/>
        <v>Grady County|Flint Hills- Riley County Health Department</v>
      </c>
      <c r="B1032" t="s">
        <v>8</v>
      </c>
      <c r="C1032" t="s">
        <v>14</v>
      </c>
      <c r="D1032">
        <v>287.18333333333328</v>
      </c>
      <c r="E1032">
        <v>334.15480000000002</v>
      </c>
    </row>
    <row r="1033" spans="1:5" x14ac:dyDescent="0.2">
      <c r="A1033" t="str">
        <f t="shared" si="16"/>
        <v>Grady County|Washington Regional Medical Center</v>
      </c>
      <c r="B1033" t="s">
        <v>8</v>
      </c>
      <c r="C1033" t="s">
        <v>13</v>
      </c>
      <c r="D1033">
        <v>228.6333333333333</v>
      </c>
      <c r="E1033">
        <v>258.54509999999999</v>
      </c>
    </row>
    <row r="1034" spans="1:5" x14ac:dyDescent="0.2">
      <c r="A1034" t="str">
        <f t="shared" si="16"/>
        <v>Grady County|South Central Medical Center</v>
      </c>
      <c r="B1034" t="s">
        <v>8</v>
      </c>
      <c r="C1034" t="s">
        <v>12</v>
      </c>
      <c r="D1034">
        <v>33.75</v>
      </c>
      <c r="E1034">
        <v>28.2544</v>
      </c>
    </row>
    <row r="1035" spans="1:5" x14ac:dyDescent="0.2">
      <c r="A1035" t="str">
        <f t="shared" si="16"/>
        <v>Grady County|Andrew County</v>
      </c>
      <c r="B1035" t="s">
        <v>8</v>
      </c>
      <c r="C1035" t="s">
        <v>11</v>
      </c>
      <c r="D1035">
        <v>362.21666666666658</v>
      </c>
      <c r="E1035">
        <v>443.60680000000002</v>
      </c>
    </row>
    <row r="1036" spans="1:5" x14ac:dyDescent="0.2">
      <c r="A1036" t="str">
        <f t="shared" si="16"/>
        <v>Grady County|Comanche County Memorial Hospital</v>
      </c>
      <c r="B1036" t="s">
        <v>8</v>
      </c>
      <c r="C1036" t="s">
        <v>10</v>
      </c>
      <c r="D1036">
        <v>46.116666666666667</v>
      </c>
      <c r="E1036">
        <v>48.071800000000003</v>
      </c>
    </row>
    <row r="1037" spans="1:5" x14ac:dyDescent="0.2">
      <c r="A1037" t="str">
        <f t="shared" si="16"/>
        <v>Grady County|Garfield County Health Department</v>
      </c>
      <c r="B1037" t="s">
        <v>8</v>
      </c>
      <c r="C1037" t="s">
        <v>9</v>
      </c>
      <c r="D1037">
        <v>104.65</v>
      </c>
      <c r="E1037">
        <v>95.799300000000002</v>
      </c>
    </row>
    <row r="1038" spans="1:5" x14ac:dyDescent="0.2">
      <c r="A1038" t="str">
        <f t="shared" si="16"/>
        <v>Grady County|Beckham County</v>
      </c>
      <c r="B1038" t="s">
        <v>8</v>
      </c>
      <c r="C1038" t="s">
        <v>7</v>
      </c>
      <c r="D1038">
        <v>108.1333333333333</v>
      </c>
      <c r="E1038">
        <v>119.91030000000001</v>
      </c>
    </row>
    <row r="1039" spans="1:5" x14ac:dyDescent="0.2">
      <c r="A1039" t="str">
        <f t="shared" si="16"/>
        <v>Grady County|Custer County</v>
      </c>
      <c r="B1039" t="s">
        <v>8</v>
      </c>
      <c r="C1039" t="s">
        <v>6</v>
      </c>
      <c r="D1039">
        <v>89.033333333333331</v>
      </c>
      <c r="E1039">
        <v>94.338399999999993</v>
      </c>
    </row>
    <row r="1040" spans="1:5" x14ac:dyDescent="0.2">
      <c r="A1040" t="str">
        <f t="shared" si="16"/>
        <v>Grady County|Pontotoc County</v>
      </c>
      <c r="B1040" t="s">
        <v>8</v>
      </c>
      <c r="C1040" t="s">
        <v>5</v>
      </c>
      <c r="D1040">
        <v>92.63333333333334</v>
      </c>
      <c r="E1040">
        <v>86.339500000000001</v>
      </c>
    </row>
    <row r="1041" spans="1:5" x14ac:dyDescent="0.2">
      <c r="A1041" t="str">
        <f t="shared" si="16"/>
        <v>Grady County|McIntosh County</v>
      </c>
      <c r="B1041" t="s">
        <v>8</v>
      </c>
      <c r="C1041" t="s">
        <v>4</v>
      </c>
      <c r="D1041">
        <v>129.65</v>
      </c>
      <c r="E1041">
        <v>153.94220000000001</v>
      </c>
    </row>
    <row r="1042" spans="1:5" x14ac:dyDescent="0.2">
      <c r="A1042" t="str">
        <f t="shared" si="16"/>
        <v>Grady County|Carter County Health Department</v>
      </c>
      <c r="B1042" t="s">
        <v>8</v>
      </c>
      <c r="C1042" t="s">
        <v>3</v>
      </c>
      <c r="D1042">
        <v>93.516666666666666</v>
      </c>
      <c r="E1042">
        <v>98.477999999999994</v>
      </c>
    </row>
    <row r="1043" spans="1:5" x14ac:dyDescent="0.2">
      <c r="A1043" t="str">
        <f t="shared" si="16"/>
        <v>Grady County|Jackson County Altus</v>
      </c>
      <c r="B1043" t="s">
        <v>8</v>
      </c>
      <c r="C1043" t="s">
        <v>2</v>
      </c>
      <c r="D1043">
        <v>92.3</v>
      </c>
      <c r="E1043">
        <v>99.712100000000007</v>
      </c>
    </row>
    <row r="1044" spans="1:5" x14ac:dyDescent="0.2">
      <c r="A1044" t="str">
        <f t="shared" si="16"/>
        <v>Grady County|Alliance Health Woodward</v>
      </c>
      <c r="B1044" t="s">
        <v>8</v>
      </c>
      <c r="C1044" t="s">
        <v>0</v>
      </c>
      <c r="D1044">
        <v>143.01666666666671</v>
      </c>
      <c r="E1044">
        <v>148.57669999999999</v>
      </c>
    </row>
    <row r="1045" spans="1:5" x14ac:dyDescent="0.2">
      <c r="A1045" t="str">
        <f t="shared" si="16"/>
        <v>Grady County|McAlester Regional Health</v>
      </c>
      <c r="B1045" t="s">
        <v>8</v>
      </c>
      <c r="C1045" t="s">
        <v>1</v>
      </c>
      <c r="D1045">
        <v>143.76666666666671</v>
      </c>
      <c r="E1045">
        <v>168.24250000000001</v>
      </c>
    </row>
    <row r="1046" spans="1:5" x14ac:dyDescent="0.2">
      <c r="A1046" t="str">
        <f t="shared" si="16"/>
        <v>Beckham County|Oklahoma Mothers’ Milk Bank</v>
      </c>
      <c r="B1046" t="s">
        <v>7</v>
      </c>
      <c r="C1046" t="s">
        <v>36</v>
      </c>
      <c r="D1046">
        <v>97.86666666666666</v>
      </c>
      <c r="E1046">
        <v>115.0257</v>
      </c>
    </row>
    <row r="1047" spans="1:5" x14ac:dyDescent="0.2">
      <c r="A1047" t="str">
        <f t="shared" si="16"/>
        <v>Beckham County|Integris Southwest</v>
      </c>
      <c r="B1047" t="s">
        <v>7</v>
      </c>
      <c r="C1047" t="s">
        <v>35</v>
      </c>
      <c r="D1047">
        <v>95.683333333333337</v>
      </c>
      <c r="E1047">
        <v>112.9044</v>
      </c>
    </row>
    <row r="1048" spans="1:5" x14ac:dyDescent="0.2">
      <c r="A1048" t="str">
        <f t="shared" si="16"/>
        <v>Beckham County|Integris Baptist</v>
      </c>
      <c r="B1048" t="s">
        <v>7</v>
      </c>
      <c r="C1048" t="s">
        <v>34</v>
      </c>
      <c r="D1048">
        <v>95.45</v>
      </c>
      <c r="E1048">
        <v>113.1331</v>
      </c>
    </row>
    <row r="1049" spans="1:5" x14ac:dyDescent="0.2">
      <c r="A1049" t="str">
        <f t="shared" si="16"/>
        <v>Beckham County|Cleveland County Moore</v>
      </c>
      <c r="B1049" t="s">
        <v>7</v>
      </c>
      <c r="C1049" t="s">
        <v>33</v>
      </c>
      <c r="D1049">
        <v>104.2</v>
      </c>
      <c r="E1049">
        <v>121.6862</v>
      </c>
    </row>
    <row r="1050" spans="1:5" x14ac:dyDescent="0.2">
      <c r="A1050" t="str">
        <f t="shared" si="16"/>
        <v>Beckham County|Variety Care- Lafayette</v>
      </c>
      <c r="B1050" t="s">
        <v>7</v>
      </c>
      <c r="C1050" t="s">
        <v>32</v>
      </c>
      <c r="D1050">
        <v>97.5</v>
      </c>
      <c r="E1050">
        <v>113.5761</v>
      </c>
    </row>
    <row r="1051" spans="1:5" x14ac:dyDescent="0.2">
      <c r="A1051" t="str">
        <f t="shared" si="16"/>
        <v>Beckham County|Edmond Hope Center</v>
      </c>
      <c r="B1051" t="s">
        <v>7</v>
      </c>
      <c r="C1051" t="s">
        <v>31</v>
      </c>
      <c r="D1051">
        <v>109.51666666666669</v>
      </c>
      <c r="E1051">
        <v>126.976</v>
      </c>
    </row>
    <row r="1052" spans="1:5" x14ac:dyDescent="0.2">
      <c r="A1052" t="str">
        <f t="shared" si="16"/>
        <v>Beckham County|Canadian Valley</v>
      </c>
      <c r="B1052" t="s">
        <v>7</v>
      </c>
      <c r="C1052" t="s">
        <v>30</v>
      </c>
      <c r="D1052">
        <v>81.483333333333334</v>
      </c>
      <c r="E1052">
        <v>97.361999999999995</v>
      </c>
    </row>
    <row r="1053" spans="1:5" x14ac:dyDescent="0.2">
      <c r="A1053" t="str">
        <f t="shared" si="16"/>
        <v>Beckham County|St. Anthony Shawnee Hospital</v>
      </c>
      <c r="B1053" t="s">
        <v>7</v>
      </c>
      <c r="C1053" t="s">
        <v>29</v>
      </c>
      <c r="D1053">
        <v>127.2</v>
      </c>
      <c r="E1053">
        <v>148.01750000000001</v>
      </c>
    </row>
    <row r="1054" spans="1:5" x14ac:dyDescent="0.2">
      <c r="A1054" t="str">
        <f t="shared" si="16"/>
        <v>Beckham County|OU Children’s Hospital</v>
      </c>
      <c r="B1054" t="s">
        <v>7</v>
      </c>
      <c r="C1054" t="s">
        <v>28</v>
      </c>
      <c r="D1054">
        <v>98.35</v>
      </c>
      <c r="E1054">
        <v>114.8201</v>
      </c>
    </row>
    <row r="1055" spans="1:5" x14ac:dyDescent="0.2">
      <c r="A1055" t="str">
        <f t="shared" si="16"/>
        <v>Beckham County|OBI</v>
      </c>
      <c r="B1055" t="s">
        <v>7</v>
      </c>
      <c r="C1055" t="s">
        <v>27</v>
      </c>
      <c r="D1055">
        <v>180.91666666666671</v>
      </c>
      <c r="E1055">
        <v>220.32079999999999</v>
      </c>
    </row>
    <row r="1056" spans="1:5" x14ac:dyDescent="0.2">
      <c r="A1056" t="str">
        <f t="shared" si="16"/>
        <v>Beckham County|Tulsa Hillcrest Hospital</v>
      </c>
      <c r="B1056" t="s">
        <v>7</v>
      </c>
      <c r="C1056" t="s">
        <v>26</v>
      </c>
      <c r="D1056">
        <v>181.7</v>
      </c>
      <c r="E1056">
        <v>220.7937</v>
      </c>
    </row>
    <row r="1057" spans="1:5" x14ac:dyDescent="0.2">
      <c r="A1057" t="str">
        <f t="shared" si="16"/>
        <v>Beckham County|St. John Owasso</v>
      </c>
      <c r="B1057" t="s">
        <v>7</v>
      </c>
      <c r="C1057" t="s">
        <v>25</v>
      </c>
      <c r="D1057">
        <v>196.4</v>
      </c>
      <c r="E1057">
        <v>236.99780000000001</v>
      </c>
    </row>
    <row r="1058" spans="1:5" x14ac:dyDescent="0.2">
      <c r="A1058" t="str">
        <f t="shared" si="16"/>
        <v>Beckham County|Jane Phillips Medical Center</v>
      </c>
      <c r="B1058" t="s">
        <v>7</v>
      </c>
      <c r="C1058" t="s">
        <v>24</v>
      </c>
      <c r="D1058">
        <v>218.1</v>
      </c>
      <c r="E1058">
        <v>262.52620000000002</v>
      </c>
    </row>
    <row r="1059" spans="1:5" x14ac:dyDescent="0.2">
      <c r="A1059" t="str">
        <f t="shared" si="16"/>
        <v>Beckham County|YWCA South</v>
      </c>
      <c r="B1059" t="s">
        <v>7</v>
      </c>
      <c r="C1059" t="s">
        <v>23</v>
      </c>
      <c r="D1059">
        <v>181.01666666666671</v>
      </c>
      <c r="E1059">
        <v>221.27459999999999</v>
      </c>
    </row>
    <row r="1060" spans="1:5" x14ac:dyDescent="0.2">
      <c r="A1060" t="str">
        <f t="shared" si="16"/>
        <v>Beckham County|YWCA East</v>
      </c>
      <c r="B1060" t="s">
        <v>7</v>
      </c>
      <c r="C1060" t="s">
        <v>22</v>
      </c>
      <c r="D1060">
        <v>185</v>
      </c>
      <c r="E1060">
        <v>224.10810000000001</v>
      </c>
    </row>
    <row r="1061" spans="1:5" x14ac:dyDescent="0.2">
      <c r="A1061" t="str">
        <f t="shared" si="16"/>
        <v>Beckham County|KUMC - University of Kansas Health System</v>
      </c>
      <c r="B1061" t="s">
        <v>7</v>
      </c>
      <c r="C1061" t="s">
        <v>21</v>
      </c>
      <c r="D1061">
        <v>372.11666666666667</v>
      </c>
      <c r="E1061">
        <v>459.73270000000002</v>
      </c>
    </row>
    <row r="1062" spans="1:5" x14ac:dyDescent="0.2">
      <c r="A1062" t="str">
        <f t="shared" si="16"/>
        <v>Beckham County|KUMC - Kansas Health Systems – St. Francis Campus</v>
      </c>
      <c r="B1062" t="s">
        <v>7</v>
      </c>
      <c r="C1062" t="s">
        <v>20</v>
      </c>
      <c r="D1062">
        <v>331.65</v>
      </c>
      <c r="E1062">
        <v>406.16860000000003</v>
      </c>
    </row>
    <row r="1063" spans="1:5" x14ac:dyDescent="0.2">
      <c r="A1063" t="str">
        <f t="shared" si="16"/>
        <v>Beckham County|Shawnee Mission MC</v>
      </c>
      <c r="B1063" t="s">
        <v>7</v>
      </c>
      <c r="C1063" t="s">
        <v>19</v>
      </c>
      <c r="D1063">
        <v>363.73333333333329</v>
      </c>
      <c r="E1063">
        <v>451.29820000000001</v>
      </c>
    </row>
    <row r="1064" spans="1:5" x14ac:dyDescent="0.2">
      <c r="A1064" t="str">
        <f t="shared" si="16"/>
        <v>Beckham County|Woven Leaf</v>
      </c>
      <c r="B1064" t="s">
        <v>7</v>
      </c>
      <c r="C1064" t="s">
        <v>18</v>
      </c>
      <c r="D1064">
        <v>298.61666666666667</v>
      </c>
      <c r="E1064">
        <v>342.76639999999998</v>
      </c>
    </row>
    <row r="1065" spans="1:5" x14ac:dyDescent="0.2">
      <c r="A1065" t="str">
        <f t="shared" si="16"/>
        <v>Beckham County|Southeast KS Health Department</v>
      </c>
      <c r="B1065" t="s">
        <v>7</v>
      </c>
      <c r="C1065" t="s">
        <v>17</v>
      </c>
      <c r="D1065">
        <v>313.93333333333328</v>
      </c>
      <c r="E1065">
        <v>359.78199999999998</v>
      </c>
    </row>
    <row r="1066" spans="1:5" x14ac:dyDescent="0.2">
      <c r="A1066" t="str">
        <f t="shared" si="16"/>
        <v>Beckham County|Salina Regional</v>
      </c>
      <c r="B1066" t="s">
        <v>7</v>
      </c>
      <c r="C1066" t="s">
        <v>16</v>
      </c>
      <c r="D1066">
        <v>297.35000000000002</v>
      </c>
      <c r="E1066">
        <v>360.86750000000001</v>
      </c>
    </row>
    <row r="1067" spans="1:5" x14ac:dyDescent="0.2">
      <c r="A1067" t="str">
        <f t="shared" si="16"/>
        <v>Beckham County|Kansas Birth Justice Society</v>
      </c>
      <c r="B1067" t="s">
        <v>7</v>
      </c>
      <c r="C1067" t="s">
        <v>15</v>
      </c>
      <c r="D1067">
        <v>224.85</v>
      </c>
      <c r="E1067">
        <v>273.66680000000002</v>
      </c>
    </row>
    <row r="1068" spans="1:5" x14ac:dyDescent="0.2">
      <c r="A1068" t="str">
        <f t="shared" si="16"/>
        <v>Beckham County|Flint Hills- Riley County Health Department</v>
      </c>
      <c r="B1068" t="s">
        <v>7</v>
      </c>
      <c r="C1068" t="s">
        <v>14</v>
      </c>
      <c r="D1068">
        <v>339.51666666666671</v>
      </c>
      <c r="E1068">
        <v>403.97519999999997</v>
      </c>
    </row>
    <row r="1069" spans="1:5" x14ac:dyDescent="0.2">
      <c r="A1069" t="str">
        <f t="shared" si="16"/>
        <v>Beckham County|Washington Regional Medical Center</v>
      </c>
      <c r="B1069" t="s">
        <v>7</v>
      </c>
      <c r="C1069" t="s">
        <v>13</v>
      </c>
      <c r="D1069">
        <v>280.95</v>
      </c>
      <c r="E1069">
        <v>328.53199999999998</v>
      </c>
    </row>
    <row r="1070" spans="1:5" x14ac:dyDescent="0.2">
      <c r="A1070" t="str">
        <f t="shared" si="16"/>
        <v>Beckham County|South Central Medical Center</v>
      </c>
      <c r="B1070" t="s">
        <v>7</v>
      </c>
      <c r="C1070" t="s">
        <v>12</v>
      </c>
      <c r="D1070">
        <v>137.76666666666671</v>
      </c>
      <c r="E1070">
        <v>146.63990000000001</v>
      </c>
    </row>
    <row r="1071" spans="1:5" x14ac:dyDescent="0.2">
      <c r="A1071" t="str">
        <f t="shared" si="16"/>
        <v>Beckham County|Andrew County</v>
      </c>
      <c r="B1071" t="s">
        <v>7</v>
      </c>
      <c r="C1071" t="s">
        <v>11</v>
      </c>
      <c r="D1071">
        <v>414.55</v>
      </c>
      <c r="E1071">
        <v>513.42719999999997</v>
      </c>
    </row>
    <row r="1072" spans="1:5" x14ac:dyDescent="0.2">
      <c r="A1072" t="str">
        <f t="shared" si="16"/>
        <v>Beckham County|Comanche County Memorial Hospital</v>
      </c>
      <c r="B1072" t="s">
        <v>7</v>
      </c>
      <c r="C1072" t="s">
        <v>10</v>
      </c>
      <c r="D1072">
        <v>105.5833333333333</v>
      </c>
      <c r="E1072">
        <v>107.1002</v>
      </c>
    </row>
    <row r="1073" spans="1:5" x14ac:dyDescent="0.2">
      <c r="A1073" t="str">
        <f t="shared" si="16"/>
        <v>Beckham County|Garfield County Health Department</v>
      </c>
      <c r="B1073" t="s">
        <v>7</v>
      </c>
      <c r="C1073" t="s">
        <v>9</v>
      </c>
      <c r="D1073">
        <v>133.43333333333331</v>
      </c>
      <c r="E1073">
        <v>141.32900000000001</v>
      </c>
    </row>
    <row r="1074" spans="1:5" x14ac:dyDescent="0.2">
      <c r="A1074" t="str">
        <f t="shared" si="16"/>
        <v>Beckham County|Grady County</v>
      </c>
      <c r="B1074" t="s">
        <v>7</v>
      </c>
      <c r="C1074" t="s">
        <v>8</v>
      </c>
      <c r="D1074">
        <v>107.1666666666667</v>
      </c>
      <c r="E1074">
        <v>119.6289</v>
      </c>
    </row>
    <row r="1075" spans="1:5" x14ac:dyDescent="0.2">
      <c r="A1075" t="str">
        <f t="shared" si="16"/>
        <v>Beckham County|Custer County</v>
      </c>
      <c r="B1075" t="s">
        <v>7</v>
      </c>
      <c r="C1075" t="s">
        <v>6</v>
      </c>
      <c r="D1075">
        <v>26.583333333333329</v>
      </c>
      <c r="E1075">
        <v>27.702000000000002</v>
      </c>
    </row>
    <row r="1076" spans="1:5" x14ac:dyDescent="0.2">
      <c r="A1076" t="str">
        <f t="shared" si="16"/>
        <v>Beckham County|Pontotoc County</v>
      </c>
      <c r="B1076" t="s">
        <v>7</v>
      </c>
      <c r="C1076" t="s">
        <v>5</v>
      </c>
      <c r="D1076">
        <v>173.93333333333331</v>
      </c>
      <c r="E1076">
        <v>197.11699999999999</v>
      </c>
    </row>
    <row r="1077" spans="1:5" x14ac:dyDescent="0.2">
      <c r="A1077" t="str">
        <f t="shared" si="16"/>
        <v>Beckham County|McIntosh County</v>
      </c>
      <c r="B1077" t="s">
        <v>7</v>
      </c>
      <c r="C1077" t="s">
        <v>4</v>
      </c>
      <c r="D1077">
        <v>188.65</v>
      </c>
      <c r="E1077">
        <v>227.66669999999999</v>
      </c>
    </row>
    <row r="1078" spans="1:5" x14ac:dyDescent="0.2">
      <c r="A1078" t="str">
        <f t="shared" si="16"/>
        <v>Beckham County|Carter County Health Department</v>
      </c>
      <c r="B1078" t="s">
        <v>7</v>
      </c>
      <c r="C1078" t="s">
        <v>3</v>
      </c>
      <c r="D1078">
        <v>178.56666666666669</v>
      </c>
      <c r="E1078">
        <v>209.60339999999999</v>
      </c>
    </row>
    <row r="1079" spans="1:5" x14ac:dyDescent="0.2">
      <c r="A1079" t="str">
        <f t="shared" si="16"/>
        <v>Beckham County|Jackson County Altus</v>
      </c>
      <c r="B1079" t="s">
        <v>7</v>
      </c>
      <c r="C1079" t="s">
        <v>2</v>
      </c>
      <c r="D1079">
        <v>54.116666666666667</v>
      </c>
      <c r="E1079">
        <v>54.4818</v>
      </c>
    </row>
    <row r="1080" spans="1:5" x14ac:dyDescent="0.2">
      <c r="A1080" t="str">
        <f t="shared" si="16"/>
        <v>Beckham County|Alliance Health Woodward</v>
      </c>
      <c r="B1080" t="s">
        <v>7</v>
      </c>
      <c r="C1080" t="s">
        <v>0</v>
      </c>
      <c r="D1080">
        <v>78.516666666666666</v>
      </c>
      <c r="E1080">
        <v>77.183000000000007</v>
      </c>
    </row>
    <row r="1081" spans="1:5" x14ac:dyDescent="0.2">
      <c r="A1081" t="str">
        <f t="shared" si="16"/>
        <v>Beckham County|McAlester Regional Health</v>
      </c>
      <c r="B1081" t="s">
        <v>7</v>
      </c>
      <c r="C1081" t="s">
        <v>1</v>
      </c>
      <c r="D1081">
        <v>202.76666666666671</v>
      </c>
      <c r="E1081">
        <v>241.96690000000001</v>
      </c>
    </row>
    <row r="1082" spans="1:5" x14ac:dyDescent="0.2">
      <c r="A1082" t="str">
        <f t="shared" si="16"/>
        <v>Custer County|Oklahoma Mothers’ Milk Bank</v>
      </c>
      <c r="B1082" t="s">
        <v>6</v>
      </c>
      <c r="C1082" t="s">
        <v>36</v>
      </c>
      <c r="D1082">
        <v>79.166666666666671</v>
      </c>
      <c r="E1082">
        <v>89.483000000000004</v>
      </c>
    </row>
    <row r="1083" spans="1:5" x14ac:dyDescent="0.2">
      <c r="A1083" t="str">
        <f t="shared" si="16"/>
        <v>Custer County|Integris Southwest</v>
      </c>
      <c r="B1083" t="s">
        <v>6</v>
      </c>
      <c r="C1083" t="s">
        <v>35</v>
      </c>
      <c r="D1083">
        <v>76.983333333333334</v>
      </c>
      <c r="E1083">
        <v>87.361699999999999</v>
      </c>
    </row>
    <row r="1084" spans="1:5" x14ac:dyDescent="0.2">
      <c r="A1084" t="str">
        <f t="shared" si="16"/>
        <v>Custer County|Integris Baptist</v>
      </c>
      <c r="B1084" t="s">
        <v>6</v>
      </c>
      <c r="C1084" t="s">
        <v>34</v>
      </c>
      <c r="D1084">
        <v>76.75</v>
      </c>
      <c r="E1084">
        <v>87.590299999999999</v>
      </c>
    </row>
    <row r="1085" spans="1:5" x14ac:dyDescent="0.2">
      <c r="A1085" t="str">
        <f t="shared" si="16"/>
        <v>Custer County|Cleveland County Moore</v>
      </c>
      <c r="B1085" t="s">
        <v>6</v>
      </c>
      <c r="C1085" t="s">
        <v>33</v>
      </c>
      <c r="D1085">
        <v>85.5</v>
      </c>
      <c r="E1085">
        <v>96.143500000000003</v>
      </c>
    </row>
    <row r="1086" spans="1:5" x14ac:dyDescent="0.2">
      <c r="A1086" t="str">
        <f t="shared" si="16"/>
        <v>Custer County|Variety Care- Lafayette</v>
      </c>
      <c r="B1086" t="s">
        <v>6</v>
      </c>
      <c r="C1086" t="s">
        <v>32</v>
      </c>
      <c r="D1086">
        <v>78.8</v>
      </c>
      <c r="E1086">
        <v>88.0334</v>
      </c>
    </row>
    <row r="1087" spans="1:5" x14ac:dyDescent="0.2">
      <c r="A1087" t="str">
        <f t="shared" si="16"/>
        <v>Custer County|Edmond Hope Center</v>
      </c>
      <c r="B1087" t="s">
        <v>6</v>
      </c>
      <c r="C1087" t="s">
        <v>31</v>
      </c>
      <c r="D1087">
        <v>90.816666666666663</v>
      </c>
      <c r="E1087">
        <v>101.4333</v>
      </c>
    </row>
    <row r="1088" spans="1:5" x14ac:dyDescent="0.2">
      <c r="A1088" t="str">
        <f t="shared" si="16"/>
        <v>Custer County|Canadian Valley</v>
      </c>
      <c r="B1088" t="s">
        <v>6</v>
      </c>
      <c r="C1088" t="s">
        <v>30</v>
      </c>
      <c r="D1088">
        <v>62.783333333333331</v>
      </c>
      <c r="E1088">
        <v>71.819299999999998</v>
      </c>
    </row>
    <row r="1089" spans="1:5" x14ac:dyDescent="0.2">
      <c r="A1089" t="str">
        <f t="shared" si="16"/>
        <v>Custer County|St. Anthony Shawnee Hospital</v>
      </c>
      <c r="B1089" t="s">
        <v>6</v>
      </c>
      <c r="C1089" t="s">
        <v>29</v>
      </c>
      <c r="D1089">
        <v>108.5</v>
      </c>
      <c r="E1089">
        <v>122.4747</v>
      </c>
    </row>
    <row r="1090" spans="1:5" x14ac:dyDescent="0.2">
      <c r="A1090" t="str">
        <f t="shared" ref="A1090:A1153" si="17">CONCATENATE(B1090,"|",C1090)</f>
        <v>Custer County|OU Children’s Hospital</v>
      </c>
      <c r="B1090" t="s">
        <v>6</v>
      </c>
      <c r="C1090" t="s">
        <v>28</v>
      </c>
      <c r="D1090">
        <v>79.650000000000006</v>
      </c>
      <c r="E1090">
        <v>89.2774</v>
      </c>
    </row>
    <row r="1091" spans="1:5" x14ac:dyDescent="0.2">
      <c r="A1091" t="str">
        <f t="shared" si="17"/>
        <v>Custer County|OBI</v>
      </c>
      <c r="B1091" t="s">
        <v>6</v>
      </c>
      <c r="C1091" t="s">
        <v>27</v>
      </c>
      <c r="D1091">
        <v>162.2166666666667</v>
      </c>
      <c r="E1091">
        <v>194.77809999999999</v>
      </c>
    </row>
    <row r="1092" spans="1:5" x14ac:dyDescent="0.2">
      <c r="A1092" t="str">
        <f t="shared" si="17"/>
        <v>Custer County|Tulsa Hillcrest Hospital</v>
      </c>
      <c r="B1092" t="s">
        <v>6</v>
      </c>
      <c r="C1092" t="s">
        <v>26</v>
      </c>
      <c r="D1092">
        <v>163</v>
      </c>
      <c r="E1092">
        <v>195.251</v>
      </c>
    </row>
    <row r="1093" spans="1:5" x14ac:dyDescent="0.2">
      <c r="A1093" t="str">
        <f t="shared" si="17"/>
        <v>Custer County|St. John Owasso</v>
      </c>
      <c r="B1093" t="s">
        <v>6</v>
      </c>
      <c r="C1093" t="s">
        <v>25</v>
      </c>
      <c r="D1093">
        <v>177.7</v>
      </c>
      <c r="E1093">
        <v>211.45509999999999</v>
      </c>
    </row>
    <row r="1094" spans="1:5" x14ac:dyDescent="0.2">
      <c r="A1094" t="str">
        <f t="shared" si="17"/>
        <v>Custer County|Jane Phillips Medical Center</v>
      </c>
      <c r="B1094" t="s">
        <v>6</v>
      </c>
      <c r="C1094" t="s">
        <v>24</v>
      </c>
      <c r="D1094">
        <v>199.4</v>
      </c>
      <c r="E1094">
        <v>236.98349999999999</v>
      </c>
    </row>
    <row r="1095" spans="1:5" x14ac:dyDescent="0.2">
      <c r="A1095" t="str">
        <f t="shared" si="17"/>
        <v>Custer County|YWCA South</v>
      </c>
      <c r="B1095" t="s">
        <v>6</v>
      </c>
      <c r="C1095" t="s">
        <v>23</v>
      </c>
      <c r="D1095">
        <v>162.31666666666669</v>
      </c>
      <c r="E1095">
        <v>195.7319</v>
      </c>
    </row>
    <row r="1096" spans="1:5" x14ac:dyDescent="0.2">
      <c r="A1096" t="str">
        <f t="shared" si="17"/>
        <v>Custer County|YWCA East</v>
      </c>
      <c r="B1096" t="s">
        <v>6</v>
      </c>
      <c r="C1096" t="s">
        <v>22</v>
      </c>
      <c r="D1096">
        <v>166.3</v>
      </c>
      <c r="E1096">
        <v>198.56540000000001</v>
      </c>
    </row>
    <row r="1097" spans="1:5" x14ac:dyDescent="0.2">
      <c r="A1097" t="str">
        <f t="shared" si="17"/>
        <v>Custer County|KUMC - University of Kansas Health System</v>
      </c>
      <c r="B1097" t="s">
        <v>6</v>
      </c>
      <c r="C1097" t="s">
        <v>21</v>
      </c>
      <c r="D1097">
        <v>353.41666666666669</v>
      </c>
      <c r="E1097">
        <v>434.19</v>
      </c>
    </row>
    <row r="1098" spans="1:5" x14ac:dyDescent="0.2">
      <c r="A1098" t="str">
        <f t="shared" si="17"/>
        <v>Custer County|KUMC - Kansas Health Systems – St. Francis Campus</v>
      </c>
      <c r="B1098" t="s">
        <v>6</v>
      </c>
      <c r="C1098" t="s">
        <v>20</v>
      </c>
      <c r="D1098">
        <v>312.95</v>
      </c>
      <c r="E1098">
        <v>380.6259</v>
      </c>
    </row>
    <row r="1099" spans="1:5" x14ac:dyDescent="0.2">
      <c r="A1099" t="str">
        <f t="shared" si="17"/>
        <v>Custer County|Shawnee Mission MC</v>
      </c>
      <c r="B1099" t="s">
        <v>6</v>
      </c>
      <c r="C1099" t="s">
        <v>19</v>
      </c>
      <c r="D1099">
        <v>345.03333333333342</v>
      </c>
      <c r="E1099">
        <v>425.75549999999998</v>
      </c>
    </row>
    <row r="1100" spans="1:5" x14ac:dyDescent="0.2">
      <c r="A1100" t="str">
        <f t="shared" si="17"/>
        <v>Custer County|Woven Leaf</v>
      </c>
      <c r="B1100" t="s">
        <v>6</v>
      </c>
      <c r="C1100" t="s">
        <v>18</v>
      </c>
      <c r="D1100">
        <v>279.91666666666669</v>
      </c>
      <c r="E1100">
        <v>317.22370000000001</v>
      </c>
    </row>
    <row r="1101" spans="1:5" x14ac:dyDescent="0.2">
      <c r="A1101" t="str">
        <f t="shared" si="17"/>
        <v>Custer County|Southeast KS Health Department</v>
      </c>
      <c r="B1101" t="s">
        <v>6</v>
      </c>
      <c r="C1101" t="s">
        <v>17</v>
      </c>
      <c r="D1101">
        <v>295.23333333333329</v>
      </c>
      <c r="E1101">
        <v>334.23930000000001</v>
      </c>
    </row>
    <row r="1102" spans="1:5" x14ac:dyDescent="0.2">
      <c r="A1102" t="str">
        <f t="shared" si="17"/>
        <v>Custer County|Salina Regional</v>
      </c>
      <c r="B1102" t="s">
        <v>6</v>
      </c>
      <c r="C1102" t="s">
        <v>16</v>
      </c>
      <c r="D1102">
        <v>278.64999999999998</v>
      </c>
      <c r="E1102">
        <v>335.32479999999998</v>
      </c>
    </row>
    <row r="1103" spans="1:5" x14ac:dyDescent="0.2">
      <c r="A1103" t="str">
        <f t="shared" si="17"/>
        <v>Custer County|Kansas Birth Justice Society</v>
      </c>
      <c r="B1103" t="s">
        <v>6</v>
      </c>
      <c r="C1103" t="s">
        <v>15</v>
      </c>
      <c r="D1103">
        <v>206.15</v>
      </c>
      <c r="E1103">
        <v>248.1241</v>
      </c>
    </row>
    <row r="1104" spans="1:5" x14ac:dyDescent="0.2">
      <c r="A1104" t="str">
        <f t="shared" si="17"/>
        <v>Custer County|Flint Hills- Riley County Health Department</v>
      </c>
      <c r="B1104" t="s">
        <v>6</v>
      </c>
      <c r="C1104" t="s">
        <v>14</v>
      </c>
      <c r="D1104">
        <v>320.81666666666672</v>
      </c>
      <c r="E1104">
        <v>378.4325</v>
      </c>
    </row>
    <row r="1105" spans="1:5" x14ac:dyDescent="0.2">
      <c r="A1105" t="str">
        <f t="shared" si="17"/>
        <v>Custer County|Washington Regional Medical Center</v>
      </c>
      <c r="B1105" t="s">
        <v>6</v>
      </c>
      <c r="C1105" t="s">
        <v>13</v>
      </c>
      <c r="D1105">
        <v>262.25</v>
      </c>
      <c r="E1105">
        <v>302.98930000000001</v>
      </c>
    </row>
    <row r="1106" spans="1:5" x14ac:dyDescent="0.2">
      <c r="A1106" t="str">
        <f t="shared" si="17"/>
        <v>Custer County|South Central Medical Center</v>
      </c>
      <c r="B1106" t="s">
        <v>6</v>
      </c>
      <c r="C1106" t="s">
        <v>12</v>
      </c>
      <c r="D1106">
        <v>119.06666666666671</v>
      </c>
      <c r="E1106">
        <v>121.0972</v>
      </c>
    </row>
    <row r="1107" spans="1:5" x14ac:dyDescent="0.2">
      <c r="A1107" t="str">
        <f t="shared" si="17"/>
        <v>Custer County|Andrew County</v>
      </c>
      <c r="B1107" t="s">
        <v>6</v>
      </c>
      <c r="C1107" t="s">
        <v>11</v>
      </c>
      <c r="D1107">
        <v>395.85</v>
      </c>
      <c r="E1107">
        <v>487.8845</v>
      </c>
    </row>
    <row r="1108" spans="1:5" x14ac:dyDescent="0.2">
      <c r="A1108" t="str">
        <f t="shared" si="17"/>
        <v>Custer County|Comanche County Memorial Hospital</v>
      </c>
      <c r="B1108" t="s">
        <v>6</v>
      </c>
      <c r="C1108" t="s">
        <v>10</v>
      </c>
      <c r="D1108">
        <v>95.266666666666666</v>
      </c>
      <c r="E1108">
        <v>96.617000000000004</v>
      </c>
    </row>
    <row r="1109" spans="1:5" x14ac:dyDescent="0.2">
      <c r="A1109" t="str">
        <f t="shared" si="17"/>
        <v>Custer County|Garfield County Health Department</v>
      </c>
      <c r="B1109" t="s">
        <v>6</v>
      </c>
      <c r="C1109" t="s">
        <v>9</v>
      </c>
      <c r="D1109">
        <v>112.75</v>
      </c>
      <c r="E1109">
        <v>111.4038</v>
      </c>
    </row>
    <row r="1110" spans="1:5" x14ac:dyDescent="0.2">
      <c r="A1110" t="str">
        <f t="shared" si="17"/>
        <v>Custer County|Grady County</v>
      </c>
      <c r="B1110" t="s">
        <v>6</v>
      </c>
      <c r="C1110" t="s">
        <v>8</v>
      </c>
      <c r="D1110">
        <v>88.466666666666669</v>
      </c>
      <c r="E1110">
        <v>94.086200000000005</v>
      </c>
    </row>
    <row r="1111" spans="1:5" x14ac:dyDescent="0.2">
      <c r="A1111" t="str">
        <f t="shared" si="17"/>
        <v>Custer County|Beckham County</v>
      </c>
      <c r="B1111" t="s">
        <v>6</v>
      </c>
      <c r="C1111" t="s">
        <v>7</v>
      </c>
      <c r="D1111">
        <v>26.616666666666671</v>
      </c>
      <c r="E1111">
        <v>27.4727</v>
      </c>
    </row>
    <row r="1112" spans="1:5" x14ac:dyDescent="0.2">
      <c r="A1112" t="str">
        <f t="shared" si="17"/>
        <v>Custer County|Pontotoc County</v>
      </c>
      <c r="B1112" t="s">
        <v>6</v>
      </c>
      <c r="C1112" t="s">
        <v>5</v>
      </c>
      <c r="D1112">
        <v>155.23333333333329</v>
      </c>
      <c r="E1112">
        <v>171.57429999999999</v>
      </c>
    </row>
    <row r="1113" spans="1:5" x14ac:dyDescent="0.2">
      <c r="A1113" t="str">
        <f t="shared" si="17"/>
        <v>Custer County|McIntosh County</v>
      </c>
      <c r="B1113" t="s">
        <v>6</v>
      </c>
      <c r="C1113" t="s">
        <v>4</v>
      </c>
      <c r="D1113">
        <v>169.95</v>
      </c>
      <c r="E1113">
        <v>202.124</v>
      </c>
    </row>
    <row r="1114" spans="1:5" x14ac:dyDescent="0.2">
      <c r="A1114" t="str">
        <f t="shared" si="17"/>
        <v>Custer County|Carter County Health Department</v>
      </c>
      <c r="B1114" t="s">
        <v>6</v>
      </c>
      <c r="C1114" t="s">
        <v>3</v>
      </c>
      <c r="D1114">
        <v>159.8666666666667</v>
      </c>
      <c r="E1114">
        <v>184.0607</v>
      </c>
    </row>
    <row r="1115" spans="1:5" x14ac:dyDescent="0.2">
      <c r="A1115" t="str">
        <f t="shared" si="17"/>
        <v>Custer County|Jackson County Altus</v>
      </c>
      <c r="B1115" t="s">
        <v>6</v>
      </c>
      <c r="C1115" t="s">
        <v>2</v>
      </c>
      <c r="D1115">
        <v>72.783333333333331</v>
      </c>
      <c r="E1115">
        <v>72.197699999999998</v>
      </c>
    </row>
    <row r="1116" spans="1:5" x14ac:dyDescent="0.2">
      <c r="A1116" t="str">
        <f t="shared" si="17"/>
        <v>Custer County|Alliance Health Woodward</v>
      </c>
      <c r="B1116" t="s">
        <v>6</v>
      </c>
      <c r="C1116" t="s">
        <v>0</v>
      </c>
      <c r="D1116">
        <v>79.016666666666666</v>
      </c>
      <c r="E1116">
        <v>79.789699999999996</v>
      </c>
    </row>
    <row r="1117" spans="1:5" x14ac:dyDescent="0.2">
      <c r="A1117" t="str">
        <f t="shared" si="17"/>
        <v>Custer County|McAlester Regional Health</v>
      </c>
      <c r="B1117" t="s">
        <v>6</v>
      </c>
      <c r="C1117" t="s">
        <v>1</v>
      </c>
      <c r="D1117">
        <v>184.06666666666669</v>
      </c>
      <c r="E1117">
        <v>216.42420000000001</v>
      </c>
    </row>
    <row r="1118" spans="1:5" x14ac:dyDescent="0.2">
      <c r="A1118" t="str">
        <f t="shared" si="17"/>
        <v>Pontotoc County|Oklahoma Mothers’ Milk Bank</v>
      </c>
      <c r="B1118" t="s">
        <v>5</v>
      </c>
      <c r="C1118" t="s">
        <v>36</v>
      </c>
      <c r="D1118">
        <v>83.933333333333337</v>
      </c>
      <c r="E1118">
        <v>86.655799999999999</v>
      </c>
    </row>
    <row r="1119" spans="1:5" x14ac:dyDescent="0.2">
      <c r="A1119" t="str">
        <f t="shared" si="17"/>
        <v>Pontotoc County|Integris Southwest</v>
      </c>
      <c r="B1119" t="s">
        <v>5</v>
      </c>
      <c r="C1119" t="s">
        <v>35</v>
      </c>
      <c r="D1119">
        <v>84.016666666666666</v>
      </c>
      <c r="E1119">
        <v>87.658699999999996</v>
      </c>
    </row>
    <row r="1120" spans="1:5" x14ac:dyDescent="0.2">
      <c r="A1120" t="str">
        <f t="shared" si="17"/>
        <v>Pontotoc County|Integris Baptist</v>
      </c>
      <c r="B1120" t="s">
        <v>5</v>
      </c>
      <c r="C1120" t="s">
        <v>34</v>
      </c>
      <c r="D1120">
        <v>90.983333333333334</v>
      </c>
      <c r="E1120">
        <v>94.799499999999995</v>
      </c>
    </row>
    <row r="1121" spans="1:5" x14ac:dyDescent="0.2">
      <c r="A1121" t="str">
        <f t="shared" si="17"/>
        <v>Pontotoc County|Cleveland County Moore</v>
      </c>
      <c r="B1121" t="s">
        <v>5</v>
      </c>
      <c r="C1121" t="s">
        <v>33</v>
      </c>
      <c r="D1121">
        <v>77.900000000000006</v>
      </c>
      <c r="E1121">
        <v>79.542299999999997</v>
      </c>
    </row>
    <row r="1122" spans="1:5" x14ac:dyDescent="0.2">
      <c r="A1122" t="str">
        <f t="shared" si="17"/>
        <v>Pontotoc County|Variety Care- Lafayette</v>
      </c>
      <c r="B1122" t="s">
        <v>5</v>
      </c>
      <c r="C1122" t="s">
        <v>32</v>
      </c>
      <c r="D1122">
        <v>83.516666666666666</v>
      </c>
      <c r="E1122">
        <v>87.038600000000002</v>
      </c>
    </row>
    <row r="1123" spans="1:5" x14ac:dyDescent="0.2">
      <c r="A1123" t="str">
        <f t="shared" si="17"/>
        <v>Pontotoc County|Edmond Hope Center</v>
      </c>
      <c r="B1123" t="s">
        <v>5</v>
      </c>
      <c r="C1123" t="s">
        <v>31</v>
      </c>
      <c r="D1123">
        <v>97.016666666666666</v>
      </c>
      <c r="E1123">
        <v>100.74169999999999</v>
      </c>
    </row>
    <row r="1124" spans="1:5" x14ac:dyDescent="0.2">
      <c r="A1124" t="str">
        <f t="shared" si="17"/>
        <v>Pontotoc County|Canadian Valley</v>
      </c>
      <c r="B1124" t="s">
        <v>5</v>
      </c>
      <c r="C1124" t="s">
        <v>30</v>
      </c>
      <c r="D1124">
        <v>96.916666666666671</v>
      </c>
      <c r="E1124">
        <v>101.1431</v>
      </c>
    </row>
    <row r="1125" spans="1:5" x14ac:dyDescent="0.2">
      <c r="A1125" t="str">
        <f t="shared" si="17"/>
        <v>Pontotoc County|St. Anthony Shawnee Hospital</v>
      </c>
      <c r="B1125" t="s">
        <v>5</v>
      </c>
      <c r="C1125" t="s">
        <v>29</v>
      </c>
      <c r="D1125">
        <v>55.483333333333327</v>
      </c>
      <c r="E1125">
        <v>53.056399999999996</v>
      </c>
    </row>
    <row r="1126" spans="1:5" x14ac:dyDescent="0.2">
      <c r="A1126" t="str">
        <f t="shared" si="17"/>
        <v>Pontotoc County|OU Children’s Hospital</v>
      </c>
      <c r="B1126" t="s">
        <v>5</v>
      </c>
      <c r="C1126" t="s">
        <v>28</v>
      </c>
      <c r="D1126">
        <v>84.416666666666671</v>
      </c>
      <c r="E1126">
        <v>86.450100000000006</v>
      </c>
    </row>
    <row r="1127" spans="1:5" x14ac:dyDescent="0.2">
      <c r="A1127" t="str">
        <f t="shared" si="17"/>
        <v>Pontotoc County|OBI</v>
      </c>
      <c r="B1127" t="s">
        <v>5</v>
      </c>
      <c r="C1127" t="s">
        <v>27</v>
      </c>
      <c r="D1127">
        <v>116.65</v>
      </c>
      <c r="E1127">
        <v>121.685</v>
      </c>
    </row>
    <row r="1128" spans="1:5" x14ac:dyDescent="0.2">
      <c r="A1128" t="str">
        <f t="shared" si="17"/>
        <v>Pontotoc County|Tulsa Hillcrest Hospital</v>
      </c>
      <c r="B1128" t="s">
        <v>5</v>
      </c>
      <c r="C1128" t="s">
        <v>26</v>
      </c>
      <c r="D1128">
        <v>117.43333333333329</v>
      </c>
      <c r="E1128">
        <v>122.15779999999999</v>
      </c>
    </row>
    <row r="1129" spans="1:5" x14ac:dyDescent="0.2">
      <c r="A1129" t="str">
        <f t="shared" si="17"/>
        <v>Pontotoc County|St. John Owasso</v>
      </c>
      <c r="B1129" t="s">
        <v>5</v>
      </c>
      <c r="C1129" t="s">
        <v>25</v>
      </c>
      <c r="D1129">
        <v>132.1333333333333</v>
      </c>
      <c r="E1129">
        <v>138.36199999999999</v>
      </c>
    </row>
    <row r="1130" spans="1:5" x14ac:dyDescent="0.2">
      <c r="A1130" t="str">
        <f t="shared" si="17"/>
        <v>Pontotoc County|Jane Phillips Medical Center</v>
      </c>
      <c r="B1130" t="s">
        <v>5</v>
      </c>
      <c r="C1130" t="s">
        <v>24</v>
      </c>
      <c r="D1130">
        <v>153.83333333333329</v>
      </c>
      <c r="E1130">
        <v>163.8904</v>
      </c>
    </row>
    <row r="1131" spans="1:5" x14ac:dyDescent="0.2">
      <c r="A1131" t="str">
        <f t="shared" si="17"/>
        <v>Pontotoc County|YWCA South</v>
      </c>
      <c r="B1131" t="s">
        <v>5</v>
      </c>
      <c r="C1131" t="s">
        <v>23</v>
      </c>
      <c r="D1131">
        <v>116.75</v>
      </c>
      <c r="E1131">
        <v>122.6388</v>
      </c>
    </row>
    <row r="1132" spans="1:5" x14ac:dyDescent="0.2">
      <c r="A1132" t="str">
        <f t="shared" si="17"/>
        <v>Pontotoc County|YWCA East</v>
      </c>
      <c r="B1132" t="s">
        <v>5</v>
      </c>
      <c r="C1132" t="s">
        <v>22</v>
      </c>
      <c r="D1132">
        <v>120.73333333333331</v>
      </c>
      <c r="E1132">
        <v>125.4722</v>
      </c>
    </row>
    <row r="1133" spans="1:5" x14ac:dyDescent="0.2">
      <c r="A1133" t="str">
        <f t="shared" si="17"/>
        <v>Pontotoc County|KUMC - University of Kansas Health System</v>
      </c>
      <c r="B1133" t="s">
        <v>5</v>
      </c>
      <c r="C1133" t="s">
        <v>21</v>
      </c>
      <c r="D1133">
        <v>337.13333333333333</v>
      </c>
      <c r="E1133">
        <v>359.64030000000002</v>
      </c>
    </row>
    <row r="1134" spans="1:5" x14ac:dyDescent="0.2">
      <c r="A1134" t="str">
        <f t="shared" si="17"/>
        <v>Pontotoc County|KUMC - Kansas Health Systems – St. Francis Campus</v>
      </c>
      <c r="B1134" t="s">
        <v>5</v>
      </c>
      <c r="C1134" t="s">
        <v>20</v>
      </c>
      <c r="D1134">
        <v>315.41666666666669</v>
      </c>
      <c r="E1134">
        <v>373.27199999999999</v>
      </c>
    </row>
    <row r="1135" spans="1:5" x14ac:dyDescent="0.2">
      <c r="A1135" t="str">
        <f t="shared" si="17"/>
        <v>Pontotoc County|Shawnee Mission MC</v>
      </c>
      <c r="B1135" t="s">
        <v>5</v>
      </c>
      <c r="C1135" t="s">
        <v>19</v>
      </c>
      <c r="D1135">
        <v>328.75</v>
      </c>
      <c r="E1135">
        <v>351.20580000000001</v>
      </c>
    </row>
    <row r="1136" spans="1:5" x14ac:dyDescent="0.2">
      <c r="A1136" t="str">
        <f t="shared" si="17"/>
        <v>Pontotoc County|Woven Leaf</v>
      </c>
      <c r="B1136" t="s">
        <v>5</v>
      </c>
      <c r="C1136" t="s">
        <v>18</v>
      </c>
      <c r="D1136">
        <v>234.35</v>
      </c>
      <c r="E1136">
        <v>244.13050000000001</v>
      </c>
    </row>
    <row r="1137" spans="1:5" x14ac:dyDescent="0.2">
      <c r="A1137" t="str">
        <f t="shared" si="17"/>
        <v>Pontotoc County|Southeast KS Health Department</v>
      </c>
      <c r="B1137" t="s">
        <v>5</v>
      </c>
      <c r="C1137" t="s">
        <v>17</v>
      </c>
      <c r="D1137">
        <v>249.66666666666671</v>
      </c>
      <c r="E1137">
        <v>261.14620000000002</v>
      </c>
    </row>
    <row r="1138" spans="1:5" x14ac:dyDescent="0.2">
      <c r="A1138" t="str">
        <f t="shared" si="17"/>
        <v>Pontotoc County|Salina Regional</v>
      </c>
      <c r="B1138" t="s">
        <v>5</v>
      </c>
      <c r="C1138" t="s">
        <v>16</v>
      </c>
      <c r="D1138">
        <v>281.11666666666667</v>
      </c>
      <c r="E1138">
        <v>327.97089999999997</v>
      </c>
    </row>
    <row r="1139" spans="1:5" x14ac:dyDescent="0.2">
      <c r="A1139" t="str">
        <f t="shared" si="17"/>
        <v>Pontotoc County|Kansas Birth Justice Society</v>
      </c>
      <c r="B1139" t="s">
        <v>5</v>
      </c>
      <c r="C1139" t="s">
        <v>15</v>
      </c>
      <c r="D1139">
        <v>208.6166666666667</v>
      </c>
      <c r="E1139">
        <v>240.77019999999999</v>
      </c>
    </row>
    <row r="1140" spans="1:5" x14ac:dyDescent="0.2">
      <c r="A1140" t="str">
        <f t="shared" si="17"/>
        <v>Pontotoc County|Flint Hills- Riley County Health Department</v>
      </c>
      <c r="B1140" t="s">
        <v>5</v>
      </c>
      <c r="C1140" t="s">
        <v>14</v>
      </c>
      <c r="D1140">
        <v>323.28333333333342</v>
      </c>
      <c r="E1140">
        <v>371.07850000000002</v>
      </c>
    </row>
    <row r="1141" spans="1:5" x14ac:dyDescent="0.2">
      <c r="A1141" t="str">
        <f t="shared" si="17"/>
        <v>Pontotoc County|Washington Regional Medical Center</v>
      </c>
      <c r="B1141" t="s">
        <v>5</v>
      </c>
      <c r="C1141" t="s">
        <v>13</v>
      </c>
      <c r="D1141">
        <v>197.3666666666667</v>
      </c>
      <c r="E1141">
        <v>223.64080000000001</v>
      </c>
    </row>
    <row r="1142" spans="1:5" x14ac:dyDescent="0.2">
      <c r="A1142" t="str">
        <f t="shared" si="17"/>
        <v>Pontotoc County|South Central Medical Center</v>
      </c>
      <c r="B1142" t="s">
        <v>5</v>
      </c>
      <c r="C1142" t="s">
        <v>12</v>
      </c>
      <c r="D1142">
        <v>68.016666666666666</v>
      </c>
      <c r="E1142">
        <v>60.332000000000001</v>
      </c>
    </row>
    <row r="1143" spans="1:5" x14ac:dyDescent="0.2">
      <c r="A1143" t="str">
        <f t="shared" si="17"/>
        <v>Pontotoc County|Andrew County</v>
      </c>
      <c r="B1143" t="s">
        <v>5</v>
      </c>
      <c r="C1143" t="s">
        <v>11</v>
      </c>
      <c r="D1143">
        <v>387.66666666666669</v>
      </c>
      <c r="E1143">
        <v>420.84660000000002</v>
      </c>
    </row>
    <row r="1144" spans="1:5" x14ac:dyDescent="0.2">
      <c r="A1144" t="str">
        <f t="shared" si="17"/>
        <v>Pontotoc County|Comanche County Memorial Hospital</v>
      </c>
      <c r="B1144" t="s">
        <v>5</v>
      </c>
      <c r="C1144" t="s">
        <v>10</v>
      </c>
      <c r="D1144">
        <v>127.01666666666669</v>
      </c>
      <c r="E1144">
        <v>118.05800000000001</v>
      </c>
    </row>
    <row r="1145" spans="1:5" x14ac:dyDescent="0.2">
      <c r="A1145" t="str">
        <f t="shared" si="17"/>
        <v>Pontotoc County|Garfield County Health Department</v>
      </c>
      <c r="B1145" t="s">
        <v>5</v>
      </c>
      <c r="C1145" t="s">
        <v>9</v>
      </c>
      <c r="D1145">
        <v>164.0333333333333</v>
      </c>
      <c r="E1145">
        <v>178.11920000000001</v>
      </c>
    </row>
    <row r="1146" spans="1:5" x14ac:dyDescent="0.2">
      <c r="A1146" t="str">
        <f t="shared" si="17"/>
        <v>Pontotoc County|Grady County</v>
      </c>
      <c r="B1146" t="s">
        <v>5</v>
      </c>
      <c r="C1146" t="s">
        <v>8</v>
      </c>
      <c r="D1146">
        <v>92.25</v>
      </c>
      <c r="E1146">
        <v>86.238900000000001</v>
      </c>
    </row>
    <row r="1147" spans="1:5" x14ac:dyDescent="0.2">
      <c r="A1147" t="str">
        <f t="shared" si="17"/>
        <v>Pontotoc County|Beckham County</v>
      </c>
      <c r="B1147" t="s">
        <v>5</v>
      </c>
      <c r="C1147" t="s">
        <v>7</v>
      </c>
      <c r="D1147">
        <v>174.33333333333329</v>
      </c>
      <c r="E1147">
        <v>197.3723</v>
      </c>
    </row>
    <row r="1148" spans="1:5" x14ac:dyDescent="0.2">
      <c r="A1148" t="str">
        <f t="shared" si="17"/>
        <v>Pontotoc County|Custer County</v>
      </c>
      <c r="B1148" t="s">
        <v>5</v>
      </c>
      <c r="C1148" t="s">
        <v>6</v>
      </c>
      <c r="D1148">
        <v>155.23333333333329</v>
      </c>
      <c r="E1148">
        <v>171.8004</v>
      </c>
    </row>
    <row r="1149" spans="1:5" x14ac:dyDescent="0.2">
      <c r="A1149" t="str">
        <f t="shared" si="17"/>
        <v>Pontotoc County|McIntosh County</v>
      </c>
      <c r="B1149" t="s">
        <v>5</v>
      </c>
      <c r="C1149" t="s">
        <v>4</v>
      </c>
      <c r="D1149">
        <v>98.066666666666663</v>
      </c>
      <c r="E1149">
        <v>100.5391</v>
      </c>
    </row>
    <row r="1150" spans="1:5" x14ac:dyDescent="0.2">
      <c r="A1150" t="str">
        <f t="shared" si="17"/>
        <v>Pontotoc County|Carter County Health Department</v>
      </c>
      <c r="B1150" t="s">
        <v>5</v>
      </c>
      <c r="C1150" t="s">
        <v>3</v>
      </c>
      <c r="D1150">
        <v>69.066666666666663</v>
      </c>
      <c r="E1150">
        <v>65.871600000000001</v>
      </c>
    </row>
    <row r="1151" spans="1:5" x14ac:dyDescent="0.2">
      <c r="A1151" t="str">
        <f t="shared" si="17"/>
        <v>Pontotoc County|Jackson County Altus</v>
      </c>
      <c r="B1151" t="s">
        <v>5</v>
      </c>
      <c r="C1151" t="s">
        <v>2</v>
      </c>
      <c r="D1151">
        <v>173.98333333333329</v>
      </c>
      <c r="E1151">
        <v>182.15430000000001</v>
      </c>
    </row>
    <row r="1152" spans="1:5" x14ac:dyDescent="0.2">
      <c r="A1152" t="str">
        <f t="shared" si="17"/>
        <v>Pontotoc County|Alliance Health Woodward</v>
      </c>
      <c r="B1152" t="s">
        <v>5</v>
      </c>
      <c r="C1152" t="s">
        <v>0</v>
      </c>
      <c r="D1152">
        <v>209.2166666666667</v>
      </c>
      <c r="E1152">
        <v>226.03870000000001</v>
      </c>
    </row>
    <row r="1153" spans="1:5" x14ac:dyDescent="0.2">
      <c r="A1153" t="str">
        <f t="shared" si="17"/>
        <v>Pontotoc County|McAlester Regional Health</v>
      </c>
      <c r="B1153" t="s">
        <v>5</v>
      </c>
      <c r="C1153" t="s">
        <v>1</v>
      </c>
      <c r="D1153">
        <v>63.8</v>
      </c>
      <c r="E1153">
        <v>60.665100000000002</v>
      </c>
    </row>
    <row r="1154" spans="1:5" x14ac:dyDescent="0.2">
      <c r="A1154" t="str">
        <f t="shared" ref="A1154:A1217" si="18">CONCATENATE(B1154,"|",C1154)</f>
        <v>McIntosh County|Oklahoma Mothers’ Milk Bank</v>
      </c>
      <c r="B1154" t="s">
        <v>4</v>
      </c>
      <c r="C1154" t="s">
        <v>36</v>
      </c>
      <c r="D1154">
        <v>98.63333333333334</v>
      </c>
      <c r="E1154">
        <v>117.0682</v>
      </c>
    </row>
    <row r="1155" spans="1:5" x14ac:dyDescent="0.2">
      <c r="A1155" t="str">
        <f t="shared" si="18"/>
        <v>McIntosh County|Integris Southwest</v>
      </c>
      <c r="B1155" t="s">
        <v>4</v>
      </c>
      <c r="C1155" t="s">
        <v>35</v>
      </c>
      <c r="D1155">
        <v>98.716666666666669</v>
      </c>
      <c r="E1155">
        <v>118.0711</v>
      </c>
    </row>
    <row r="1156" spans="1:5" x14ac:dyDescent="0.2">
      <c r="A1156" t="str">
        <f t="shared" si="18"/>
        <v>McIntosh County|Integris Baptist</v>
      </c>
      <c r="B1156" t="s">
        <v>4</v>
      </c>
      <c r="C1156" t="s">
        <v>34</v>
      </c>
      <c r="D1156">
        <v>105.68333333333329</v>
      </c>
      <c r="E1156">
        <v>125.2119</v>
      </c>
    </row>
    <row r="1157" spans="1:5" x14ac:dyDescent="0.2">
      <c r="A1157" t="str">
        <f t="shared" si="18"/>
        <v>McIntosh County|Cleveland County Moore</v>
      </c>
      <c r="B1157" t="s">
        <v>4</v>
      </c>
      <c r="C1157" t="s">
        <v>33</v>
      </c>
      <c r="D1157">
        <v>98.583333333333329</v>
      </c>
      <c r="E1157">
        <v>116.99550000000001</v>
      </c>
    </row>
    <row r="1158" spans="1:5" x14ac:dyDescent="0.2">
      <c r="A1158" t="str">
        <f t="shared" si="18"/>
        <v>McIntosh County|Variety Care- Lafayette</v>
      </c>
      <c r="B1158" t="s">
        <v>4</v>
      </c>
      <c r="C1158" t="s">
        <v>32</v>
      </c>
      <c r="D1158">
        <v>98.216666666666669</v>
      </c>
      <c r="E1158">
        <v>117.45099999999999</v>
      </c>
    </row>
    <row r="1159" spans="1:5" x14ac:dyDescent="0.2">
      <c r="A1159" t="str">
        <f t="shared" si="18"/>
        <v>McIntosh County|Edmond Hope Center</v>
      </c>
      <c r="B1159" t="s">
        <v>4</v>
      </c>
      <c r="C1159" t="s">
        <v>31</v>
      </c>
      <c r="D1159">
        <v>111.7166666666667</v>
      </c>
      <c r="E1159">
        <v>131.1541</v>
      </c>
    </row>
    <row r="1160" spans="1:5" x14ac:dyDescent="0.2">
      <c r="A1160" t="str">
        <f t="shared" si="18"/>
        <v>McIntosh County|Canadian Valley</v>
      </c>
      <c r="B1160" t="s">
        <v>4</v>
      </c>
      <c r="C1160" t="s">
        <v>30</v>
      </c>
      <c r="D1160">
        <v>111.6166666666667</v>
      </c>
      <c r="E1160">
        <v>131.55549999999999</v>
      </c>
    </row>
    <row r="1161" spans="1:5" x14ac:dyDescent="0.2">
      <c r="A1161" t="str">
        <f t="shared" si="18"/>
        <v>McIntosh County|St. Anthony Shawnee Hospital</v>
      </c>
      <c r="B1161" t="s">
        <v>4</v>
      </c>
      <c r="C1161" t="s">
        <v>29</v>
      </c>
      <c r="D1161">
        <v>71.2</v>
      </c>
      <c r="E1161">
        <v>83.395499999999998</v>
      </c>
    </row>
    <row r="1162" spans="1:5" x14ac:dyDescent="0.2">
      <c r="A1162" t="str">
        <f t="shared" si="18"/>
        <v>McIntosh County|OU Children’s Hospital</v>
      </c>
      <c r="B1162" t="s">
        <v>4</v>
      </c>
      <c r="C1162" t="s">
        <v>28</v>
      </c>
      <c r="D1162">
        <v>99.11666666666666</v>
      </c>
      <c r="E1162">
        <v>116.8625</v>
      </c>
    </row>
    <row r="1163" spans="1:5" x14ac:dyDescent="0.2">
      <c r="A1163" t="str">
        <f t="shared" si="18"/>
        <v>McIntosh County|OBI</v>
      </c>
      <c r="B1163" t="s">
        <v>4</v>
      </c>
      <c r="C1163" t="s">
        <v>27</v>
      </c>
      <c r="D1163">
        <v>65.13333333333334</v>
      </c>
      <c r="E1163">
        <v>56.765999999999998</v>
      </c>
    </row>
    <row r="1164" spans="1:5" x14ac:dyDescent="0.2">
      <c r="A1164" t="str">
        <f t="shared" si="18"/>
        <v>McIntosh County|Tulsa Hillcrest Hospital</v>
      </c>
      <c r="B1164" t="s">
        <v>4</v>
      </c>
      <c r="C1164" t="s">
        <v>26</v>
      </c>
      <c r="D1164">
        <v>64.516666666666666</v>
      </c>
      <c r="E1164">
        <v>67.687799999999996</v>
      </c>
    </row>
    <row r="1165" spans="1:5" x14ac:dyDescent="0.2">
      <c r="A1165" t="str">
        <f t="shared" si="18"/>
        <v>McIntosh County|St. John Owasso</v>
      </c>
      <c r="B1165" t="s">
        <v>4</v>
      </c>
      <c r="C1165" t="s">
        <v>25</v>
      </c>
      <c r="D1165">
        <v>71.033333333333331</v>
      </c>
      <c r="E1165">
        <v>74.869600000000005</v>
      </c>
    </row>
    <row r="1166" spans="1:5" x14ac:dyDescent="0.2">
      <c r="A1166" t="str">
        <f t="shared" si="18"/>
        <v>McIntosh County|Jane Phillips Medical Center</v>
      </c>
      <c r="B1166" t="s">
        <v>4</v>
      </c>
      <c r="C1166" t="s">
        <v>24</v>
      </c>
      <c r="D1166">
        <v>101.65</v>
      </c>
      <c r="E1166">
        <v>109.7223</v>
      </c>
    </row>
    <row r="1167" spans="1:5" x14ac:dyDescent="0.2">
      <c r="A1167" t="str">
        <f t="shared" si="18"/>
        <v>McIntosh County|YWCA South</v>
      </c>
      <c r="B1167" t="s">
        <v>4</v>
      </c>
      <c r="C1167" t="s">
        <v>23</v>
      </c>
      <c r="D1167">
        <v>62.533333333333331</v>
      </c>
      <c r="E1167">
        <v>66.483000000000004</v>
      </c>
    </row>
    <row r="1168" spans="1:5" x14ac:dyDescent="0.2">
      <c r="A1168" t="str">
        <f t="shared" si="18"/>
        <v>McIntosh County|YWCA East</v>
      </c>
      <c r="B1168" t="s">
        <v>4</v>
      </c>
      <c r="C1168" t="s">
        <v>22</v>
      </c>
      <c r="D1168">
        <v>61.583333333333343</v>
      </c>
      <c r="E1168">
        <v>63.817900000000002</v>
      </c>
    </row>
    <row r="1169" spans="1:5" x14ac:dyDescent="0.2">
      <c r="A1169" t="str">
        <f t="shared" si="18"/>
        <v>McIntosh County|KUMC - University of Kansas Health System</v>
      </c>
      <c r="B1169" t="s">
        <v>4</v>
      </c>
      <c r="C1169" t="s">
        <v>21</v>
      </c>
      <c r="D1169">
        <v>265.39999999999998</v>
      </c>
      <c r="E1169">
        <v>276.18709999999999</v>
      </c>
    </row>
    <row r="1170" spans="1:5" x14ac:dyDescent="0.2">
      <c r="A1170" t="str">
        <f t="shared" si="18"/>
        <v>McIntosh County|KUMC - Kansas Health Systems – St. Francis Campus</v>
      </c>
      <c r="B1170" t="s">
        <v>4</v>
      </c>
      <c r="C1170" t="s">
        <v>20</v>
      </c>
      <c r="D1170">
        <v>276.8</v>
      </c>
      <c r="E1170">
        <v>287.76069999999999</v>
      </c>
    </row>
    <row r="1171" spans="1:5" x14ac:dyDescent="0.2">
      <c r="A1171" t="str">
        <f t="shared" si="18"/>
        <v>McIntosh County|Shawnee Mission MC</v>
      </c>
      <c r="B1171" t="s">
        <v>4</v>
      </c>
      <c r="C1171" t="s">
        <v>19</v>
      </c>
      <c r="D1171">
        <v>256.91666666666669</v>
      </c>
      <c r="E1171">
        <v>267.73520000000002</v>
      </c>
    </row>
    <row r="1172" spans="1:5" x14ac:dyDescent="0.2">
      <c r="A1172" t="str">
        <f t="shared" si="18"/>
        <v>McIntosh County|Woven Leaf</v>
      </c>
      <c r="B1172" t="s">
        <v>4</v>
      </c>
      <c r="C1172" t="s">
        <v>18</v>
      </c>
      <c r="D1172">
        <v>173.25</v>
      </c>
      <c r="E1172">
        <v>180.63820000000001</v>
      </c>
    </row>
    <row r="1173" spans="1:5" x14ac:dyDescent="0.2">
      <c r="A1173" t="str">
        <f t="shared" si="18"/>
        <v>McIntosh County|Southeast KS Health Department</v>
      </c>
      <c r="B1173" t="s">
        <v>4</v>
      </c>
      <c r="C1173" t="s">
        <v>17</v>
      </c>
      <c r="D1173">
        <v>188.56666666666669</v>
      </c>
      <c r="E1173">
        <v>197.65379999999999</v>
      </c>
    </row>
    <row r="1174" spans="1:5" x14ac:dyDescent="0.2">
      <c r="A1174" t="str">
        <f t="shared" si="18"/>
        <v>McIntosh County|Salina Regional</v>
      </c>
      <c r="B1174" t="s">
        <v>4</v>
      </c>
      <c r="C1174" t="s">
        <v>16</v>
      </c>
      <c r="D1174">
        <v>282.89999999999998</v>
      </c>
      <c r="E1174">
        <v>332.50259999999997</v>
      </c>
    </row>
    <row r="1175" spans="1:5" x14ac:dyDescent="0.2">
      <c r="A1175" t="str">
        <f t="shared" si="18"/>
        <v>McIntosh County|Kansas Birth Justice Society</v>
      </c>
      <c r="B1175" t="s">
        <v>4</v>
      </c>
      <c r="C1175" t="s">
        <v>15</v>
      </c>
      <c r="D1175">
        <v>210.4</v>
      </c>
      <c r="E1175">
        <v>245.30179999999999</v>
      </c>
    </row>
    <row r="1176" spans="1:5" x14ac:dyDescent="0.2">
      <c r="A1176" t="str">
        <f t="shared" si="18"/>
        <v>McIntosh County|Flint Hills- Riley County Health Department</v>
      </c>
      <c r="B1176" t="s">
        <v>4</v>
      </c>
      <c r="C1176" t="s">
        <v>14</v>
      </c>
      <c r="D1176">
        <v>319.98333333333329</v>
      </c>
      <c r="E1176">
        <v>342.30470000000003</v>
      </c>
    </row>
    <row r="1177" spans="1:5" x14ac:dyDescent="0.2">
      <c r="A1177" t="str">
        <f t="shared" si="18"/>
        <v>McIntosh County|Washington Regional Medical Center</v>
      </c>
      <c r="B1177" t="s">
        <v>4</v>
      </c>
      <c r="C1177" t="s">
        <v>13</v>
      </c>
      <c r="D1177">
        <v>104.95</v>
      </c>
      <c r="E1177">
        <v>124.6893</v>
      </c>
    </row>
    <row r="1178" spans="1:5" x14ac:dyDescent="0.2">
      <c r="A1178" t="str">
        <f t="shared" si="18"/>
        <v>McIntosh County|South Central Medical Center</v>
      </c>
      <c r="B1178" t="s">
        <v>4</v>
      </c>
      <c r="C1178" t="s">
        <v>12</v>
      </c>
      <c r="D1178">
        <v>144.6333333333333</v>
      </c>
      <c r="E1178">
        <v>162.1189</v>
      </c>
    </row>
    <row r="1179" spans="1:5" x14ac:dyDescent="0.2">
      <c r="A1179" t="str">
        <f t="shared" si="18"/>
        <v>McIntosh County|Andrew County</v>
      </c>
      <c r="B1179" t="s">
        <v>4</v>
      </c>
      <c r="C1179" t="s">
        <v>11</v>
      </c>
      <c r="D1179">
        <v>318.26666666666671</v>
      </c>
      <c r="E1179">
        <v>339.9658</v>
      </c>
    </row>
    <row r="1180" spans="1:5" x14ac:dyDescent="0.2">
      <c r="A1180" t="str">
        <f t="shared" si="18"/>
        <v>McIntosh County|Comanche County Memorial Hospital</v>
      </c>
      <c r="B1180" t="s">
        <v>4</v>
      </c>
      <c r="C1180" t="s">
        <v>10</v>
      </c>
      <c r="D1180">
        <v>164.6</v>
      </c>
      <c r="E1180">
        <v>198.6884</v>
      </c>
    </row>
    <row r="1181" spans="1:5" x14ac:dyDescent="0.2">
      <c r="A1181" t="str">
        <f t="shared" si="18"/>
        <v>McIntosh County|Garfield County Health Department</v>
      </c>
      <c r="B1181" t="s">
        <v>4</v>
      </c>
      <c r="C1181" t="s">
        <v>9</v>
      </c>
      <c r="D1181">
        <v>165.26666666666671</v>
      </c>
      <c r="E1181">
        <v>186.7817</v>
      </c>
    </row>
    <row r="1182" spans="1:5" x14ac:dyDescent="0.2">
      <c r="A1182" t="str">
        <f t="shared" si="18"/>
        <v>McIntosh County|Grady County</v>
      </c>
      <c r="B1182" t="s">
        <v>4</v>
      </c>
      <c r="C1182" t="s">
        <v>8</v>
      </c>
      <c r="D1182">
        <v>129.85</v>
      </c>
      <c r="E1182">
        <v>154.43369999999999</v>
      </c>
    </row>
    <row r="1183" spans="1:5" x14ac:dyDescent="0.2">
      <c r="A1183" t="str">
        <f t="shared" si="18"/>
        <v>McIntosh County|Beckham County</v>
      </c>
      <c r="B1183" t="s">
        <v>4</v>
      </c>
      <c r="C1183" t="s">
        <v>7</v>
      </c>
      <c r="D1183">
        <v>189.0333333333333</v>
      </c>
      <c r="E1183">
        <v>227.78469999999999</v>
      </c>
    </row>
    <row r="1184" spans="1:5" x14ac:dyDescent="0.2">
      <c r="A1184" t="str">
        <f t="shared" si="18"/>
        <v>McIntosh County|Custer County</v>
      </c>
      <c r="B1184" t="s">
        <v>4</v>
      </c>
      <c r="C1184" t="s">
        <v>6</v>
      </c>
      <c r="D1184">
        <v>169.93333333333331</v>
      </c>
      <c r="E1184">
        <v>202.21279999999999</v>
      </c>
    </row>
    <row r="1185" spans="1:5" x14ac:dyDescent="0.2">
      <c r="A1185" t="str">
        <f t="shared" si="18"/>
        <v>McIntosh County|Pontotoc County</v>
      </c>
      <c r="B1185" t="s">
        <v>4</v>
      </c>
      <c r="C1185" t="s">
        <v>5</v>
      </c>
      <c r="D1185">
        <v>96.183333333333337</v>
      </c>
      <c r="E1185">
        <v>100.2098</v>
      </c>
    </row>
    <row r="1186" spans="1:5" x14ac:dyDescent="0.2">
      <c r="A1186" t="str">
        <f t="shared" si="18"/>
        <v>McIntosh County|Carter County Health Department</v>
      </c>
      <c r="B1186" t="s">
        <v>4</v>
      </c>
      <c r="C1186" t="s">
        <v>3</v>
      </c>
      <c r="D1186">
        <v>156.16666666666671</v>
      </c>
      <c r="E1186">
        <v>158.4229</v>
      </c>
    </row>
    <row r="1187" spans="1:5" x14ac:dyDescent="0.2">
      <c r="A1187" t="str">
        <f t="shared" si="18"/>
        <v>McIntosh County|Jackson County Altus</v>
      </c>
      <c r="B1187" t="s">
        <v>4</v>
      </c>
      <c r="C1187" t="s">
        <v>2</v>
      </c>
      <c r="D1187">
        <v>210.7833333333333</v>
      </c>
      <c r="E1187">
        <v>250.3287</v>
      </c>
    </row>
    <row r="1188" spans="1:5" x14ac:dyDescent="0.2">
      <c r="A1188" t="str">
        <f t="shared" si="18"/>
        <v>McIntosh County|Alliance Health Woodward</v>
      </c>
      <c r="B1188" t="s">
        <v>4</v>
      </c>
      <c r="C1188" t="s">
        <v>0</v>
      </c>
      <c r="D1188">
        <v>223.91666666666671</v>
      </c>
      <c r="E1188">
        <v>256.4511</v>
      </c>
    </row>
    <row r="1189" spans="1:5" x14ac:dyDescent="0.2">
      <c r="A1189" t="str">
        <f t="shared" si="18"/>
        <v>McIntosh County|McAlester Regional Health</v>
      </c>
      <c r="B1189" t="s">
        <v>4</v>
      </c>
      <c r="C1189" t="s">
        <v>1</v>
      </c>
      <c r="D1189">
        <v>40.916666666666657</v>
      </c>
      <c r="E1189">
        <v>42.973399999999998</v>
      </c>
    </row>
    <row r="1190" spans="1:5" x14ac:dyDescent="0.2">
      <c r="A1190" t="str">
        <f t="shared" si="18"/>
        <v>Carter County Health Department|Oklahoma Mothers’ Milk Bank</v>
      </c>
      <c r="B1190" t="s">
        <v>3</v>
      </c>
      <c r="C1190" t="s">
        <v>36</v>
      </c>
      <c r="D1190">
        <v>88.266666666666666</v>
      </c>
      <c r="E1190">
        <v>100.0501</v>
      </c>
    </row>
    <row r="1191" spans="1:5" x14ac:dyDescent="0.2">
      <c r="A1191" t="str">
        <f t="shared" si="18"/>
        <v>Carter County Health Department|Integris Southwest</v>
      </c>
      <c r="B1191" t="s">
        <v>3</v>
      </c>
      <c r="C1191" t="s">
        <v>35</v>
      </c>
      <c r="D1191">
        <v>86.533333333333331</v>
      </c>
      <c r="E1191">
        <v>97.305499999999995</v>
      </c>
    </row>
    <row r="1192" spans="1:5" x14ac:dyDescent="0.2">
      <c r="A1192" t="str">
        <f t="shared" si="18"/>
        <v>Carter County Health Department|Integris Baptist</v>
      </c>
      <c r="B1192" t="s">
        <v>3</v>
      </c>
      <c r="C1192" t="s">
        <v>34</v>
      </c>
      <c r="D1192">
        <v>95.533333333333331</v>
      </c>
      <c r="E1192">
        <v>107.8626</v>
      </c>
    </row>
    <row r="1193" spans="1:5" x14ac:dyDescent="0.2">
      <c r="A1193" t="str">
        <f t="shared" si="18"/>
        <v>Carter County Health Department|Cleveland County Moore</v>
      </c>
      <c r="B1193" t="s">
        <v>3</v>
      </c>
      <c r="C1193" t="s">
        <v>33</v>
      </c>
      <c r="D1193">
        <v>78.8</v>
      </c>
      <c r="E1193">
        <v>89.783799999999999</v>
      </c>
    </row>
    <row r="1194" spans="1:5" x14ac:dyDescent="0.2">
      <c r="A1194" t="str">
        <f t="shared" si="18"/>
        <v>Carter County Health Department|Variety Care- Lafayette</v>
      </c>
      <c r="B1194" t="s">
        <v>3</v>
      </c>
      <c r="C1194" t="s">
        <v>32</v>
      </c>
      <c r="D1194">
        <v>86.033333333333331</v>
      </c>
      <c r="E1194">
        <v>96.685400000000001</v>
      </c>
    </row>
    <row r="1195" spans="1:5" x14ac:dyDescent="0.2">
      <c r="A1195" t="str">
        <f t="shared" si="18"/>
        <v>Carter County Health Department|Edmond Hope Center</v>
      </c>
      <c r="B1195" t="s">
        <v>3</v>
      </c>
      <c r="C1195" t="s">
        <v>31</v>
      </c>
      <c r="D1195">
        <v>102.6666666666667</v>
      </c>
      <c r="E1195">
        <v>113.49160000000001</v>
      </c>
    </row>
    <row r="1196" spans="1:5" x14ac:dyDescent="0.2">
      <c r="A1196" t="str">
        <f t="shared" si="18"/>
        <v>Carter County Health Department|Canadian Valley</v>
      </c>
      <c r="B1196" t="s">
        <v>3</v>
      </c>
      <c r="C1196" t="s">
        <v>30</v>
      </c>
      <c r="D1196">
        <v>101.3333333333333</v>
      </c>
      <c r="E1196">
        <v>114.5622</v>
      </c>
    </row>
    <row r="1197" spans="1:5" x14ac:dyDescent="0.2">
      <c r="A1197" t="str">
        <f t="shared" si="18"/>
        <v>Carter County Health Department|St. Anthony Shawnee Hospital</v>
      </c>
      <c r="B1197" t="s">
        <v>3</v>
      </c>
      <c r="C1197" t="s">
        <v>29</v>
      </c>
      <c r="D1197">
        <v>99.033333333333331</v>
      </c>
      <c r="E1197">
        <v>93.519499999999994</v>
      </c>
    </row>
    <row r="1198" spans="1:5" x14ac:dyDescent="0.2">
      <c r="A1198" t="str">
        <f t="shared" si="18"/>
        <v>Carter County Health Department|OU Children’s Hospital</v>
      </c>
      <c r="B1198" t="s">
        <v>3</v>
      </c>
      <c r="C1198" t="s">
        <v>28</v>
      </c>
      <c r="D1198">
        <v>88.75</v>
      </c>
      <c r="E1198">
        <v>99.844399999999993</v>
      </c>
    </row>
    <row r="1199" spans="1:5" x14ac:dyDescent="0.2">
      <c r="A1199" t="str">
        <f t="shared" si="18"/>
        <v>Carter County Health Department|OBI</v>
      </c>
      <c r="B1199" t="s">
        <v>3</v>
      </c>
      <c r="C1199" t="s">
        <v>27</v>
      </c>
      <c r="D1199">
        <v>172</v>
      </c>
      <c r="E1199">
        <v>203.7594</v>
      </c>
    </row>
    <row r="1200" spans="1:5" x14ac:dyDescent="0.2">
      <c r="A1200" t="str">
        <f t="shared" si="18"/>
        <v>Carter County Health Department|Tulsa Hillcrest Hospital</v>
      </c>
      <c r="B1200" t="s">
        <v>3</v>
      </c>
      <c r="C1200" t="s">
        <v>26</v>
      </c>
      <c r="D1200">
        <v>172.7833333333333</v>
      </c>
      <c r="E1200">
        <v>204.23230000000001</v>
      </c>
    </row>
    <row r="1201" spans="1:5" x14ac:dyDescent="0.2">
      <c r="A1201" t="str">
        <f t="shared" si="18"/>
        <v>Carter County Health Department|St. John Owasso</v>
      </c>
      <c r="B1201" t="s">
        <v>3</v>
      </c>
      <c r="C1201" t="s">
        <v>25</v>
      </c>
      <c r="D1201">
        <v>187.48333333333329</v>
      </c>
      <c r="E1201">
        <v>220.43639999999999</v>
      </c>
    </row>
    <row r="1202" spans="1:5" x14ac:dyDescent="0.2">
      <c r="A1202" t="str">
        <f t="shared" si="18"/>
        <v>Carter County Health Department|Jane Phillips Medical Center</v>
      </c>
      <c r="B1202" t="s">
        <v>3</v>
      </c>
      <c r="C1202" t="s">
        <v>24</v>
      </c>
      <c r="D1202">
        <v>209.18333333333331</v>
      </c>
      <c r="E1202">
        <v>245.9648</v>
      </c>
    </row>
    <row r="1203" spans="1:5" x14ac:dyDescent="0.2">
      <c r="A1203" t="str">
        <f t="shared" si="18"/>
        <v>Carter County Health Department|YWCA South</v>
      </c>
      <c r="B1203" t="s">
        <v>3</v>
      </c>
      <c r="C1203" t="s">
        <v>23</v>
      </c>
      <c r="D1203">
        <v>172.1</v>
      </c>
      <c r="E1203">
        <v>204.7132</v>
      </c>
    </row>
    <row r="1204" spans="1:5" x14ac:dyDescent="0.2">
      <c r="A1204" t="str">
        <f t="shared" si="18"/>
        <v>Carter County Health Department|YWCA East</v>
      </c>
      <c r="B1204" t="s">
        <v>3</v>
      </c>
      <c r="C1204" t="s">
        <v>22</v>
      </c>
      <c r="D1204">
        <v>176.08333333333329</v>
      </c>
      <c r="E1204">
        <v>207.54669999999999</v>
      </c>
    </row>
    <row r="1205" spans="1:5" x14ac:dyDescent="0.2">
      <c r="A1205" t="str">
        <f t="shared" si="18"/>
        <v>Carter County Health Department|KUMC - University of Kansas Health System</v>
      </c>
      <c r="B1205" t="s">
        <v>3</v>
      </c>
      <c r="C1205" t="s">
        <v>21</v>
      </c>
      <c r="D1205">
        <v>363.18333333333328</v>
      </c>
      <c r="E1205">
        <v>443.33780000000002</v>
      </c>
    </row>
    <row r="1206" spans="1:5" x14ac:dyDescent="0.2">
      <c r="A1206" t="str">
        <f t="shared" si="18"/>
        <v>Carter County Health Department|KUMC - Kansas Health Systems – St. Francis Campus</v>
      </c>
      <c r="B1206" t="s">
        <v>3</v>
      </c>
      <c r="C1206" t="s">
        <v>20</v>
      </c>
      <c r="D1206">
        <v>322.71666666666658</v>
      </c>
      <c r="E1206">
        <v>389.77370000000002</v>
      </c>
    </row>
    <row r="1207" spans="1:5" x14ac:dyDescent="0.2">
      <c r="A1207" t="str">
        <f t="shared" si="18"/>
        <v>Carter County Health Department|Shawnee Mission MC</v>
      </c>
      <c r="B1207" t="s">
        <v>3</v>
      </c>
      <c r="C1207" t="s">
        <v>19</v>
      </c>
      <c r="D1207">
        <v>354.8</v>
      </c>
      <c r="E1207">
        <v>434.9033</v>
      </c>
    </row>
    <row r="1208" spans="1:5" x14ac:dyDescent="0.2">
      <c r="A1208" t="str">
        <f t="shared" si="18"/>
        <v>Carter County Health Department|Woven Leaf</v>
      </c>
      <c r="B1208" t="s">
        <v>3</v>
      </c>
      <c r="C1208" t="s">
        <v>18</v>
      </c>
      <c r="D1208">
        <v>289.7</v>
      </c>
      <c r="E1208">
        <v>326.20499999999998</v>
      </c>
    </row>
    <row r="1209" spans="1:5" x14ac:dyDescent="0.2">
      <c r="A1209" t="str">
        <f t="shared" si="18"/>
        <v>Carter County Health Department|Southeast KS Health Department</v>
      </c>
      <c r="B1209" t="s">
        <v>3</v>
      </c>
      <c r="C1209" t="s">
        <v>17</v>
      </c>
      <c r="D1209">
        <v>305.01666666666671</v>
      </c>
      <c r="E1209">
        <v>343.22059999999999</v>
      </c>
    </row>
    <row r="1210" spans="1:5" x14ac:dyDescent="0.2">
      <c r="A1210" t="str">
        <f t="shared" si="18"/>
        <v>Carter County Health Department|Salina Regional</v>
      </c>
      <c r="B1210" t="s">
        <v>3</v>
      </c>
      <c r="C1210" t="s">
        <v>16</v>
      </c>
      <c r="D1210">
        <v>288.41666666666669</v>
      </c>
      <c r="E1210">
        <v>344.47269999999997</v>
      </c>
    </row>
    <row r="1211" spans="1:5" x14ac:dyDescent="0.2">
      <c r="A1211" t="str">
        <f t="shared" si="18"/>
        <v>Carter County Health Department|Kansas Birth Justice Society</v>
      </c>
      <c r="B1211" t="s">
        <v>3</v>
      </c>
      <c r="C1211" t="s">
        <v>15</v>
      </c>
      <c r="D1211">
        <v>215.91666666666671</v>
      </c>
      <c r="E1211">
        <v>257.27190000000002</v>
      </c>
    </row>
    <row r="1212" spans="1:5" x14ac:dyDescent="0.2">
      <c r="A1212" t="str">
        <f t="shared" si="18"/>
        <v>Carter County Health Department|Flint Hills- Riley County Health Department</v>
      </c>
      <c r="B1212" t="s">
        <v>3</v>
      </c>
      <c r="C1212" t="s">
        <v>14</v>
      </c>
      <c r="D1212">
        <v>330.58333333333331</v>
      </c>
      <c r="E1212">
        <v>387.58030000000002</v>
      </c>
    </row>
    <row r="1213" spans="1:5" x14ac:dyDescent="0.2">
      <c r="A1213" t="str">
        <f t="shared" si="18"/>
        <v>Carter County Health Department|Washington Regional Medical Center</v>
      </c>
      <c r="B1213" t="s">
        <v>3</v>
      </c>
      <c r="C1213" t="s">
        <v>13</v>
      </c>
      <c r="D1213">
        <v>256.03333333333342</v>
      </c>
      <c r="E1213">
        <v>280.61989999999997</v>
      </c>
    </row>
    <row r="1214" spans="1:5" x14ac:dyDescent="0.2">
      <c r="A1214" t="str">
        <f t="shared" si="18"/>
        <v>Carter County Health Department|South Central Medical Center</v>
      </c>
      <c r="B1214" t="s">
        <v>3</v>
      </c>
      <c r="C1214" t="s">
        <v>12</v>
      </c>
      <c r="D1214">
        <v>63.43333333333333</v>
      </c>
      <c r="E1214">
        <v>65.506200000000007</v>
      </c>
    </row>
    <row r="1215" spans="1:5" x14ac:dyDescent="0.2">
      <c r="A1215" t="str">
        <f t="shared" si="18"/>
        <v>Carter County Health Department|Andrew County</v>
      </c>
      <c r="B1215" t="s">
        <v>3</v>
      </c>
      <c r="C1215" t="s">
        <v>11</v>
      </c>
      <c r="D1215">
        <v>405.61666666666667</v>
      </c>
      <c r="E1215">
        <v>497.03230000000002</v>
      </c>
    </row>
    <row r="1216" spans="1:5" x14ac:dyDescent="0.2">
      <c r="A1216" t="str">
        <f t="shared" si="18"/>
        <v>Carter County Health Department|Comanche County Memorial Hospital</v>
      </c>
      <c r="B1216" t="s">
        <v>3</v>
      </c>
      <c r="C1216" t="s">
        <v>10</v>
      </c>
      <c r="D1216">
        <v>107.25</v>
      </c>
      <c r="E1216">
        <v>105.1652</v>
      </c>
    </row>
    <row r="1217" spans="1:5" x14ac:dyDescent="0.2">
      <c r="A1217" t="str">
        <f t="shared" si="18"/>
        <v>Carter County Health Department|Garfield County Health Department</v>
      </c>
      <c r="B1217" t="s">
        <v>3</v>
      </c>
      <c r="C1217" t="s">
        <v>9</v>
      </c>
      <c r="D1217">
        <v>169.1166666666667</v>
      </c>
      <c r="E1217">
        <v>183.69909999999999</v>
      </c>
    </row>
    <row r="1218" spans="1:5" x14ac:dyDescent="0.2">
      <c r="A1218" t="str">
        <f t="shared" ref="A1218:A1281" si="19">CONCATENATE(B1218,"|",C1218)</f>
        <v>Carter County Health Department|Grady County</v>
      </c>
      <c r="B1218" t="s">
        <v>3</v>
      </c>
      <c r="C1218" t="s">
        <v>8</v>
      </c>
      <c r="D1218">
        <v>94.1</v>
      </c>
      <c r="E1218">
        <v>98.091499999999996</v>
      </c>
    </row>
    <row r="1219" spans="1:5" x14ac:dyDescent="0.2">
      <c r="A1219" t="str">
        <f t="shared" si="19"/>
        <v>Carter County Health Department|Beckham County</v>
      </c>
      <c r="B1219" t="s">
        <v>3</v>
      </c>
      <c r="C1219" t="s">
        <v>7</v>
      </c>
      <c r="D1219">
        <v>178.75</v>
      </c>
      <c r="E1219">
        <v>210.79150000000001</v>
      </c>
    </row>
    <row r="1220" spans="1:5" x14ac:dyDescent="0.2">
      <c r="A1220" t="str">
        <f t="shared" si="19"/>
        <v>Carter County Health Department|Custer County</v>
      </c>
      <c r="B1220" t="s">
        <v>3</v>
      </c>
      <c r="C1220" t="s">
        <v>6</v>
      </c>
      <c r="D1220">
        <v>159.65</v>
      </c>
      <c r="E1220">
        <v>185.21960000000001</v>
      </c>
    </row>
    <row r="1221" spans="1:5" x14ac:dyDescent="0.2">
      <c r="A1221" t="str">
        <f t="shared" si="19"/>
        <v>Carter County Health Department|Pontotoc County</v>
      </c>
      <c r="B1221" t="s">
        <v>3</v>
      </c>
      <c r="C1221" t="s">
        <v>5</v>
      </c>
      <c r="D1221">
        <v>69.766666666666666</v>
      </c>
      <c r="E1221">
        <v>65.272599999999997</v>
      </c>
    </row>
    <row r="1222" spans="1:5" x14ac:dyDescent="0.2">
      <c r="A1222" t="str">
        <f t="shared" si="19"/>
        <v>Carter County Health Department|McIntosh County</v>
      </c>
      <c r="B1222" t="s">
        <v>3</v>
      </c>
      <c r="C1222" t="s">
        <v>4</v>
      </c>
      <c r="D1222">
        <v>156.31666666666669</v>
      </c>
      <c r="E1222">
        <v>157.7133</v>
      </c>
    </row>
    <row r="1223" spans="1:5" x14ac:dyDescent="0.2">
      <c r="A1223" t="str">
        <f t="shared" si="19"/>
        <v>Carter County Health Department|Jackson County Altus</v>
      </c>
      <c r="B1223" t="s">
        <v>3</v>
      </c>
      <c r="C1223" t="s">
        <v>2</v>
      </c>
      <c r="D1223">
        <v>156.69999999999999</v>
      </c>
      <c r="E1223">
        <v>160.82830000000001</v>
      </c>
    </row>
    <row r="1224" spans="1:5" x14ac:dyDescent="0.2">
      <c r="A1224" t="str">
        <f t="shared" si="19"/>
        <v>Carter County Health Department|Alliance Health Woodward</v>
      </c>
      <c r="B1224" t="s">
        <v>3</v>
      </c>
      <c r="C1224" t="s">
        <v>0</v>
      </c>
      <c r="D1224">
        <v>213.6333333333333</v>
      </c>
      <c r="E1224">
        <v>239.45779999999999</v>
      </c>
    </row>
    <row r="1225" spans="1:5" x14ac:dyDescent="0.2">
      <c r="A1225" t="str">
        <f t="shared" si="19"/>
        <v>Carter County Health Department|McAlester Regional Health</v>
      </c>
      <c r="B1225" t="s">
        <v>3</v>
      </c>
      <c r="C1225" t="s">
        <v>1</v>
      </c>
      <c r="D1225">
        <v>124.2166666666667</v>
      </c>
      <c r="E1225">
        <v>116.6836</v>
      </c>
    </row>
    <row r="1226" spans="1:5" x14ac:dyDescent="0.2">
      <c r="A1226" t="str">
        <f t="shared" si="19"/>
        <v>Jackson County Altus|Oklahoma Mothers’ Milk Bank</v>
      </c>
      <c r="B1226" t="s">
        <v>2</v>
      </c>
      <c r="C1226" t="s">
        <v>36</v>
      </c>
      <c r="D1226">
        <v>128.43333333333331</v>
      </c>
      <c r="E1226">
        <v>143.64609999999999</v>
      </c>
    </row>
    <row r="1227" spans="1:5" x14ac:dyDescent="0.2">
      <c r="A1227" t="str">
        <f t="shared" si="19"/>
        <v>Jackson County Altus|Integris Southwest</v>
      </c>
      <c r="B1227" t="s">
        <v>2</v>
      </c>
      <c r="C1227" t="s">
        <v>35</v>
      </c>
      <c r="D1227">
        <v>122.1666666666667</v>
      </c>
      <c r="E1227">
        <v>136.55500000000001</v>
      </c>
    </row>
    <row r="1228" spans="1:5" x14ac:dyDescent="0.2">
      <c r="A1228" t="str">
        <f t="shared" si="19"/>
        <v>Jackson County Altus|Integris Baptist</v>
      </c>
      <c r="B1228" t="s">
        <v>2</v>
      </c>
      <c r="C1228" t="s">
        <v>34</v>
      </c>
      <c r="D1228">
        <v>126.1166666666667</v>
      </c>
      <c r="E1228">
        <v>142.0821</v>
      </c>
    </row>
    <row r="1229" spans="1:5" x14ac:dyDescent="0.2">
      <c r="A1229" t="str">
        <f t="shared" si="19"/>
        <v>Jackson County Altus|Cleveland County Moore</v>
      </c>
      <c r="B1229" t="s">
        <v>2</v>
      </c>
      <c r="C1229" t="s">
        <v>33</v>
      </c>
      <c r="D1229">
        <v>121.8333333333333</v>
      </c>
      <c r="E1229">
        <v>134.059</v>
      </c>
    </row>
    <row r="1230" spans="1:5" x14ac:dyDescent="0.2">
      <c r="A1230" t="str">
        <f t="shared" si="19"/>
        <v>Jackson County Altus|Variety Care- Lafayette</v>
      </c>
      <c r="B1230" t="s">
        <v>2</v>
      </c>
      <c r="C1230" t="s">
        <v>32</v>
      </c>
      <c r="D1230">
        <v>122.35</v>
      </c>
      <c r="E1230">
        <v>136.9316</v>
      </c>
    </row>
    <row r="1231" spans="1:5" x14ac:dyDescent="0.2">
      <c r="A1231" t="str">
        <f t="shared" si="19"/>
        <v>Jackson County Altus|Edmond Hope Center</v>
      </c>
      <c r="B1231" t="s">
        <v>2</v>
      </c>
      <c r="C1231" t="s">
        <v>31</v>
      </c>
      <c r="D1231">
        <v>140.83333333333329</v>
      </c>
      <c r="E1231">
        <v>154.70840000000001</v>
      </c>
    </row>
    <row r="1232" spans="1:5" x14ac:dyDescent="0.2">
      <c r="A1232" t="str">
        <f t="shared" si="19"/>
        <v>Jackson County Altus|Canadian Valley</v>
      </c>
      <c r="B1232" t="s">
        <v>2</v>
      </c>
      <c r="C1232" t="s">
        <v>30</v>
      </c>
      <c r="D1232">
        <v>127.5</v>
      </c>
      <c r="E1232">
        <v>141.92490000000001</v>
      </c>
    </row>
    <row r="1233" spans="1:5" x14ac:dyDescent="0.2">
      <c r="A1233" t="str">
        <f t="shared" si="19"/>
        <v>Jackson County Altus|St. Anthony Shawnee Hospital</v>
      </c>
      <c r="B1233" t="s">
        <v>2</v>
      </c>
      <c r="C1233" t="s">
        <v>29</v>
      </c>
      <c r="D1233">
        <v>151.1</v>
      </c>
      <c r="E1233">
        <v>170.72239999999999</v>
      </c>
    </row>
    <row r="1234" spans="1:5" x14ac:dyDescent="0.2">
      <c r="A1234" t="str">
        <f t="shared" si="19"/>
        <v>Jackson County Altus|OU Children’s Hospital</v>
      </c>
      <c r="B1234" t="s">
        <v>2</v>
      </c>
      <c r="C1234" t="s">
        <v>28</v>
      </c>
      <c r="D1234">
        <v>128.91666666666671</v>
      </c>
      <c r="E1234">
        <v>143.44040000000001</v>
      </c>
    </row>
    <row r="1235" spans="1:5" x14ac:dyDescent="0.2">
      <c r="A1235" t="str">
        <f t="shared" si="19"/>
        <v>Jackson County Altus|OBI</v>
      </c>
      <c r="B1235" t="s">
        <v>2</v>
      </c>
      <c r="C1235" t="s">
        <v>27</v>
      </c>
      <c r="D1235">
        <v>211.5</v>
      </c>
      <c r="E1235">
        <v>246.76329999999999</v>
      </c>
    </row>
    <row r="1236" spans="1:5" x14ac:dyDescent="0.2">
      <c r="A1236" t="str">
        <f t="shared" si="19"/>
        <v>Jackson County Altus|Tulsa Hillcrest Hospital</v>
      </c>
      <c r="B1236" t="s">
        <v>2</v>
      </c>
      <c r="C1236" t="s">
        <v>26</v>
      </c>
      <c r="D1236">
        <v>212.2833333333333</v>
      </c>
      <c r="E1236">
        <v>247.23609999999999</v>
      </c>
    </row>
    <row r="1237" spans="1:5" x14ac:dyDescent="0.2">
      <c r="A1237" t="str">
        <f t="shared" si="19"/>
        <v>Jackson County Altus|St. John Owasso</v>
      </c>
      <c r="B1237" t="s">
        <v>2</v>
      </c>
      <c r="C1237" t="s">
        <v>25</v>
      </c>
      <c r="D1237">
        <v>226.98333333333329</v>
      </c>
      <c r="E1237">
        <v>263.44029999999998</v>
      </c>
    </row>
    <row r="1238" spans="1:5" x14ac:dyDescent="0.2">
      <c r="A1238" t="str">
        <f t="shared" si="19"/>
        <v>Jackson County Altus|Jane Phillips Medical Center</v>
      </c>
      <c r="B1238" t="s">
        <v>2</v>
      </c>
      <c r="C1238" t="s">
        <v>24</v>
      </c>
      <c r="D1238">
        <v>248.68333333333331</v>
      </c>
      <c r="E1238">
        <v>288.96870000000001</v>
      </c>
    </row>
    <row r="1239" spans="1:5" x14ac:dyDescent="0.2">
      <c r="A1239" t="str">
        <f t="shared" si="19"/>
        <v>Jackson County Altus|YWCA South</v>
      </c>
      <c r="B1239" t="s">
        <v>2</v>
      </c>
      <c r="C1239" t="s">
        <v>23</v>
      </c>
      <c r="D1239">
        <v>211.6</v>
      </c>
      <c r="E1239">
        <v>247.71709999999999</v>
      </c>
    </row>
    <row r="1240" spans="1:5" x14ac:dyDescent="0.2">
      <c r="A1240" t="str">
        <f t="shared" si="19"/>
        <v>Jackson County Altus|YWCA East</v>
      </c>
      <c r="B1240" t="s">
        <v>2</v>
      </c>
      <c r="C1240" t="s">
        <v>22</v>
      </c>
      <c r="D1240">
        <v>215.58333333333329</v>
      </c>
      <c r="E1240">
        <v>250.5505</v>
      </c>
    </row>
    <row r="1241" spans="1:5" x14ac:dyDescent="0.2">
      <c r="A1241" t="str">
        <f t="shared" si="19"/>
        <v>Jackson County Altus|KUMC - University of Kansas Health System</v>
      </c>
      <c r="B1241" t="s">
        <v>2</v>
      </c>
      <c r="C1241" t="s">
        <v>21</v>
      </c>
      <c r="D1241">
        <v>402.68333333333328</v>
      </c>
      <c r="E1241">
        <v>486.34160000000003</v>
      </c>
    </row>
    <row r="1242" spans="1:5" x14ac:dyDescent="0.2">
      <c r="A1242" t="str">
        <f t="shared" si="19"/>
        <v>Jackson County Altus|KUMC - Kansas Health Systems – St. Francis Campus</v>
      </c>
      <c r="B1242" t="s">
        <v>2</v>
      </c>
      <c r="C1242" t="s">
        <v>20</v>
      </c>
      <c r="D1242">
        <v>362.21666666666658</v>
      </c>
      <c r="E1242">
        <v>432.77760000000001</v>
      </c>
    </row>
    <row r="1243" spans="1:5" x14ac:dyDescent="0.2">
      <c r="A1243" t="str">
        <f t="shared" si="19"/>
        <v>Jackson County Altus|Shawnee Mission MC</v>
      </c>
      <c r="B1243" t="s">
        <v>2</v>
      </c>
      <c r="C1243" t="s">
        <v>19</v>
      </c>
      <c r="D1243">
        <v>394.3</v>
      </c>
      <c r="E1243">
        <v>477.90710000000001</v>
      </c>
    </row>
    <row r="1244" spans="1:5" x14ac:dyDescent="0.2">
      <c r="A1244" t="str">
        <f t="shared" si="19"/>
        <v>Jackson County Altus|Woven Leaf</v>
      </c>
      <c r="B1244" t="s">
        <v>2</v>
      </c>
      <c r="C1244" t="s">
        <v>18</v>
      </c>
      <c r="D1244">
        <v>329.2</v>
      </c>
      <c r="E1244">
        <v>369.2088</v>
      </c>
    </row>
    <row r="1245" spans="1:5" x14ac:dyDescent="0.2">
      <c r="A1245" t="str">
        <f t="shared" si="19"/>
        <v>Jackson County Altus|Southeast KS Health Department</v>
      </c>
      <c r="B1245" t="s">
        <v>2</v>
      </c>
      <c r="C1245" t="s">
        <v>17</v>
      </c>
      <c r="D1245">
        <v>344.51666666666671</v>
      </c>
      <c r="E1245">
        <v>386.2244</v>
      </c>
    </row>
    <row r="1246" spans="1:5" x14ac:dyDescent="0.2">
      <c r="A1246" t="str">
        <f t="shared" si="19"/>
        <v>Jackson County Altus|Salina Regional</v>
      </c>
      <c r="B1246" t="s">
        <v>2</v>
      </c>
      <c r="C1246" t="s">
        <v>16</v>
      </c>
      <c r="D1246">
        <v>327.91666666666669</v>
      </c>
      <c r="E1246">
        <v>387.47649999999999</v>
      </c>
    </row>
    <row r="1247" spans="1:5" x14ac:dyDescent="0.2">
      <c r="A1247" t="str">
        <f t="shared" si="19"/>
        <v>Jackson County Altus|Kansas Birth Justice Society</v>
      </c>
      <c r="B1247" t="s">
        <v>2</v>
      </c>
      <c r="C1247" t="s">
        <v>15</v>
      </c>
      <c r="D1247">
        <v>255.41666666666671</v>
      </c>
      <c r="E1247">
        <v>300.2758</v>
      </c>
    </row>
    <row r="1248" spans="1:5" x14ac:dyDescent="0.2">
      <c r="A1248" t="str">
        <f t="shared" si="19"/>
        <v>Jackson County Altus|Flint Hills- Riley County Health Department</v>
      </c>
      <c r="B1248" t="s">
        <v>2</v>
      </c>
      <c r="C1248" t="s">
        <v>14</v>
      </c>
      <c r="D1248">
        <v>370.08333333333331</v>
      </c>
      <c r="E1248">
        <v>430.58409999999998</v>
      </c>
    </row>
    <row r="1249" spans="1:5" x14ac:dyDescent="0.2">
      <c r="A1249" t="str">
        <f t="shared" si="19"/>
        <v>Jackson County Altus|Washington Regional Medical Center</v>
      </c>
      <c r="B1249" t="s">
        <v>2</v>
      </c>
      <c r="C1249" t="s">
        <v>13</v>
      </c>
      <c r="D1249">
        <v>310.53333333333342</v>
      </c>
      <c r="E1249">
        <v>356.20659999999998</v>
      </c>
    </row>
    <row r="1250" spans="1:5" x14ac:dyDescent="0.2">
      <c r="A1250" t="str">
        <f t="shared" si="19"/>
        <v>Jackson County Altus|South Central Medical Center</v>
      </c>
      <c r="B1250" t="s">
        <v>2</v>
      </c>
      <c r="C1250" t="s">
        <v>12</v>
      </c>
      <c r="D1250">
        <v>116.2166666666667</v>
      </c>
      <c r="E1250">
        <v>122.8942</v>
      </c>
    </row>
    <row r="1251" spans="1:5" x14ac:dyDescent="0.2">
      <c r="A1251" t="str">
        <f t="shared" si="19"/>
        <v>Jackson County Altus|Andrew County</v>
      </c>
      <c r="B1251" t="s">
        <v>2</v>
      </c>
      <c r="C1251" t="s">
        <v>11</v>
      </c>
      <c r="D1251">
        <v>445.11666666666667</v>
      </c>
      <c r="E1251">
        <v>540.03620000000001</v>
      </c>
    </row>
    <row r="1252" spans="1:5" x14ac:dyDescent="0.2">
      <c r="A1252" t="str">
        <f t="shared" si="19"/>
        <v>Jackson County Altus|Comanche County Memorial Hospital</v>
      </c>
      <c r="B1252" t="s">
        <v>2</v>
      </c>
      <c r="C1252" t="s">
        <v>10</v>
      </c>
      <c r="D1252">
        <v>56.583333333333343</v>
      </c>
      <c r="E1252">
        <v>55.210700000000003</v>
      </c>
    </row>
    <row r="1253" spans="1:5" x14ac:dyDescent="0.2">
      <c r="A1253" t="str">
        <f t="shared" si="19"/>
        <v>Jackson County Altus|Garfield County Health Department</v>
      </c>
      <c r="B1253" t="s">
        <v>2</v>
      </c>
      <c r="C1253" t="s">
        <v>9</v>
      </c>
      <c r="D1253">
        <v>179.45</v>
      </c>
      <c r="E1253">
        <v>185.89189999999999</v>
      </c>
    </row>
    <row r="1254" spans="1:5" x14ac:dyDescent="0.2">
      <c r="A1254" t="str">
        <f t="shared" si="19"/>
        <v>Jackson County Altus|Grady County</v>
      </c>
      <c r="B1254" t="s">
        <v>2</v>
      </c>
      <c r="C1254" t="s">
        <v>8</v>
      </c>
      <c r="D1254">
        <v>95.033333333333331</v>
      </c>
      <c r="E1254">
        <v>100.70869999999999</v>
      </c>
    </row>
    <row r="1255" spans="1:5" x14ac:dyDescent="0.2">
      <c r="A1255" t="str">
        <f t="shared" si="19"/>
        <v>Jackson County Altus|Beckham County</v>
      </c>
      <c r="B1255" t="s">
        <v>2</v>
      </c>
      <c r="C1255" t="s">
        <v>7</v>
      </c>
      <c r="D1255">
        <v>53.833333333333343</v>
      </c>
      <c r="E1255">
        <v>54.452599999999997</v>
      </c>
    </row>
    <row r="1256" spans="1:5" x14ac:dyDescent="0.2">
      <c r="A1256" t="str">
        <f t="shared" si="19"/>
        <v>Jackson County Altus|Custer County</v>
      </c>
      <c r="B1256" t="s">
        <v>2</v>
      </c>
      <c r="C1256" t="s">
        <v>6</v>
      </c>
      <c r="D1256">
        <v>72.599999999999994</v>
      </c>
      <c r="E1256">
        <v>72.264799999999994</v>
      </c>
    </row>
    <row r="1257" spans="1:5" x14ac:dyDescent="0.2">
      <c r="A1257" t="str">
        <f t="shared" si="19"/>
        <v>Jackson County Altus|Pontotoc County</v>
      </c>
      <c r="B1257" t="s">
        <v>2</v>
      </c>
      <c r="C1257" t="s">
        <v>5</v>
      </c>
      <c r="D1257">
        <v>176.4</v>
      </c>
      <c r="E1257">
        <v>182.79249999999999</v>
      </c>
    </row>
    <row r="1258" spans="1:5" x14ac:dyDescent="0.2">
      <c r="A1258" t="str">
        <f t="shared" si="19"/>
        <v>Jackson County Altus|McIntosh County</v>
      </c>
      <c r="B1258" t="s">
        <v>2</v>
      </c>
      <c r="C1258" t="s">
        <v>4</v>
      </c>
      <c r="D1258">
        <v>212.55</v>
      </c>
      <c r="E1258">
        <v>250.3716</v>
      </c>
    </row>
    <row r="1259" spans="1:5" x14ac:dyDescent="0.2">
      <c r="A1259" t="str">
        <f t="shared" si="19"/>
        <v>Jackson County Altus|Carter County Health Department</v>
      </c>
      <c r="B1259" t="s">
        <v>2</v>
      </c>
      <c r="C1259" t="s">
        <v>3</v>
      </c>
      <c r="D1259">
        <v>156.80000000000001</v>
      </c>
      <c r="E1259">
        <v>161.07929999999999</v>
      </c>
    </row>
    <row r="1260" spans="1:5" x14ac:dyDescent="0.2">
      <c r="A1260" t="str">
        <f t="shared" si="19"/>
        <v>Jackson County Altus|Alliance Health Woodward</v>
      </c>
      <c r="B1260" t="s">
        <v>2</v>
      </c>
      <c r="C1260" t="s">
        <v>0</v>
      </c>
      <c r="D1260">
        <v>127.85</v>
      </c>
      <c r="E1260">
        <v>130.39660000000001</v>
      </c>
    </row>
    <row r="1261" spans="1:5" x14ac:dyDescent="0.2">
      <c r="A1261" t="str">
        <f t="shared" si="19"/>
        <v>Jackson County Altus|McAlester Regional Health</v>
      </c>
      <c r="B1261" t="s">
        <v>2</v>
      </c>
      <c r="C1261" t="s">
        <v>1</v>
      </c>
      <c r="D1261">
        <v>226.66666666666671</v>
      </c>
      <c r="E1261">
        <v>264.67180000000002</v>
      </c>
    </row>
    <row r="1262" spans="1:5" x14ac:dyDescent="0.2">
      <c r="A1262" t="str">
        <f t="shared" si="19"/>
        <v>Alliance Health Woodward|Oklahoma Mothers’ Milk Bank</v>
      </c>
      <c r="B1262" t="s">
        <v>0</v>
      </c>
      <c r="C1262" t="s">
        <v>36</v>
      </c>
      <c r="D1262">
        <v>134.16666666666671</v>
      </c>
      <c r="E1262">
        <v>143.86420000000001</v>
      </c>
    </row>
    <row r="1263" spans="1:5" x14ac:dyDescent="0.2">
      <c r="A1263" t="str">
        <f t="shared" si="19"/>
        <v>Alliance Health Woodward|Integris Southwest</v>
      </c>
      <c r="B1263" t="s">
        <v>0</v>
      </c>
      <c r="C1263" t="s">
        <v>35</v>
      </c>
      <c r="D1263">
        <v>131.98333333333329</v>
      </c>
      <c r="E1263">
        <v>141.74279999999999</v>
      </c>
    </row>
    <row r="1264" spans="1:5" x14ac:dyDescent="0.2">
      <c r="A1264" t="str">
        <f t="shared" si="19"/>
        <v>Alliance Health Woodward|Integris Baptist</v>
      </c>
      <c r="B1264" t="s">
        <v>0</v>
      </c>
      <c r="C1264" t="s">
        <v>34</v>
      </c>
      <c r="D1264">
        <v>131.75</v>
      </c>
      <c r="E1264">
        <v>141.97149999999999</v>
      </c>
    </row>
    <row r="1265" spans="1:5" x14ac:dyDescent="0.2">
      <c r="A1265" t="str">
        <f t="shared" si="19"/>
        <v>Alliance Health Woodward|Cleveland County Moore</v>
      </c>
      <c r="B1265" t="s">
        <v>0</v>
      </c>
      <c r="C1265" t="s">
        <v>33</v>
      </c>
      <c r="D1265">
        <v>140.5</v>
      </c>
      <c r="E1265">
        <v>150.5247</v>
      </c>
    </row>
    <row r="1266" spans="1:5" x14ac:dyDescent="0.2">
      <c r="A1266" t="str">
        <f t="shared" si="19"/>
        <v>Alliance Health Woodward|Variety Care- Lafayette</v>
      </c>
      <c r="B1266" t="s">
        <v>0</v>
      </c>
      <c r="C1266" t="s">
        <v>32</v>
      </c>
      <c r="D1266">
        <v>133.80000000000001</v>
      </c>
      <c r="E1266">
        <v>142.4145</v>
      </c>
    </row>
    <row r="1267" spans="1:5" x14ac:dyDescent="0.2">
      <c r="A1267" t="str">
        <f t="shared" si="19"/>
        <v>Alliance Health Woodward|Edmond Hope Center</v>
      </c>
      <c r="B1267" t="s">
        <v>0</v>
      </c>
      <c r="C1267" t="s">
        <v>31</v>
      </c>
      <c r="D1267">
        <v>139.18333333333331</v>
      </c>
      <c r="E1267">
        <v>138.5316</v>
      </c>
    </row>
    <row r="1268" spans="1:5" x14ac:dyDescent="0.2">
      <c r="A1268" t="str">
        <f t="shared" si="19"/>
        <v>Alliance Health Woodward|Canadian Valley</v>
      </c>
      <c r="B1268" t="s">
        <v>0</v>
      </c>
      <c r="C1268" t="s">
        <v>30</v>
      </c>
      <c r="D1268">
        <v>117.7833333333333</v>
      </c>
      <c r="E1268">
        <v>126.20050000000001</v>
      </c>
    </row>
    <row r="1269" spans="1:5" x14ac:dyDescent="0.2">
      <c r="A1269" t="str">
        <f t="shared" si="19"/>
        <v>Alliance Health Woodward|St. Anthony Shawnee Hospital</v>
      </c>
      <c r="B1269" t="s">
        <v>0</v>
      </c>
      <c r="C1269" t="s">
        <v>29</v>
      </c>
      <c r="D1269">
        <v>163.5</v>
      </c>
      <c r="E1269">
        <v>176.85589999999999</v>
      </c>
    </row>
    <row r="1270" spans="1:5" x14ac:dyDescent="0.2">
      <c r="A1270" t="str">
        <f t="shared" si="19"/>
        <v>Alliance Health Woodward|OU Children’s Hospital</v>
      </c>
      <c r="B1270" t="s">
        <v>0</v>
      </c>
      <c r="C1270" t="s">
        <v>28</v>
      </c>
      <c r="D1270">
        <v>134.65</v>
      </c>
      <c r="E1270">
        <v>143.6585</v>
      </c>
    </row>
    <row r="1271" spans="1:5" x14ac:dyDescent="0.2">
      <c r="A1271" t="str">
        <f t="shared" si="19"/>
        <v>Alliance Health Woodward|OBI</v>
      </c>
      <c r="B1271" t="s">
        <v>0</v>
      </c>
      <c r="C1271" t="s">
        <v>27</v>
      </c>
      <c r="D1271">
        <v>193.9666666666667</v>
      </c>
      <c r="E1271">
        <v>214.99690000000001</v>
      </c>
    </row>
    <row r="1272" spans="1:5" x14ac:dyDescent="0.2">
      <c r="A1272" t="str">
        <f t="shared" si="19"/>
        <v>Alliance Health Woodward|Tulsa Hillcrest Hospital</v>
      </c>
      <c r="B1272" t="s">
        <v>0</v>
      </c>
      <c r="C1272" t="s">
        <v>26</v>
      </c>
      <c r="D1272">
        <v>185.05</v>
      </c>
      <c r="E1272">
        <v>205.8758</v>
      </c>
    </row>
    <row r="1273" spans="1:5" x14ac:dyDescent="0.2">
      <c r="A1273" t="str">
        <f t="shared" si="19"/>
        <v>Alliance Health Woodward|St. John Owasso</v>
      </c>
      <c r="B1273" t="s">
        <v>0</v>
      </c>
      <c r="C1273" t="s">
        <v>25</v>
      </c>
      <c r="D1273">
        <v>198.01666666666671</v>
      </c>
      <c r="E1273">
        <v>221.17150000000001</v>
      </c>
    </row>
    <row r="1274" spans="1:5" x14ac:dyDescent="0.2">
      <c r="A1274" t="str">
        <f t="shared" si="19"/>
        <v>Alliance Health Woodward|Jane Phillips Medical Center</v>
      </c>
      <c r="B1274" t="s">
        <v>0</v>
      </c>
      <c r="C1274" t="s">
        <v>24</v>
      </c>
      <c r="D1274">
        <v>227.18333333333331</v>
      </c>
      <c r="E1274">
        <v>234.9641</v>
      </c>
    </row>
    <row r="1275" spans="1:5" x14ac:dyDescent="0.2">
      <c r="A1275" t="str">
        <f t="shared" si="19"/>
        <v>Alliance Health Woodward|YWCA South</v>
      </c>
      <c r="B1275" t="s">
        <v>0</v>
      </c>
      <c r="C1275" t="s">
        <v>23</v>
      </c>
      <c r="D1275">
        <v>184.08333333333329</v>
      </c>
      <c r="E1275">
        <v>206.54499999999999</v>
      </c>
    </row>
    <row r="1276" spans="1:5" x14ac:dyDescent="0.2">
      <c r="A1276" t="str">
        <f t="shared" si="19"/>
        <v>Alliance Health Woodward|YWCA East</v>
      </c>
      <c r="B1276" t="s">
        <v>0</v>
      </c>
      <c r="C1276" t="s">
        <v>22</v>
      </c>
      <c r="D1276">
        <v>189.4</v>
      </c>
      <c r="E1276">
        <v>211.22329999999999</v>
      </c>
    </row>
    <row r="1277" spans="1:5" x14ac:dyDescent="0.2">
      <c r="A1277" t="str">
        <f t="shared" si="19"/>
        <v>Alliance Health Woodward|KUMC - University of Kansas Health System</v>
      </c>
      <c r="B1277" t="s">
        <v>0</v>
      </c>
      <c r="C1277" t="s">
        <v>21</v>
      </c>
      <c r="D1277">
        <v>334.06666666666672</v>
      </c>
      <c r="E1277">
        <v>387.2106</v>
      </c>
    </row>
    <row r="1278" spans="1:5" x14ac:dyDescent="0.2">
      <c r="A1278" t="str">
        <f t="shared" si="19"/>
        <v>Alliance Health Woodward|KUMC - Kansas Health Systems – St. Francis Campus</v>
      </c>
      <c r="B1278" t="s">
        <v>0</v>
      </c>
      <c r="C1278" t="s">
        <v>20</v>
      </c>
      <c r="D1278">
        <v>293.60000000000002</v>
      </c>
      <c r="E1278">
        <v>333.6465</v>
      </c>
    </row>
    <row r="1279" spans="1:5" x14ac:dyDescent="0.2">
      <c r="A1279" t="str">
        <f t="shared" si="19"/>
        <v>Alliance Health Woodward|Shawnee Mission MC</v>
      </c>
      <c r="B1279" t="s">
        <v>0</v>
      </c>
      <c r="C1279" t="s">
        <v>19</v>
      </c>
      <c r="D1279">
        <v>325.68333333333328</v>
      </c>
      <c r="E1279">
        <v>378.77609999999999</v>
      </c>
    </row>
    <row r="1280" spans="1:5" x14ac:dyDescent="0.2">
      <c r="A1280" t="str">
        <f t="shared" si="19"/>
        <v>Alliance Health Woodward|Woven Leaf</v>
      </c>
      <c r="B1280" t="s">
        <v>0</v>
      </c>
      <c r="C1280" t="s">
        <v>18</v>
      </c>
      <c r="D1280">
        <v>277.43333333333328</v>
      </c>
      <c r="E1280">
        <v>286.77269999999999</v>
      </c>
    </row>
    <row r="1281" spans="1:5" x14ac:dyDescent="0.2">
      <c r="A1281" t="str">
        <f t="shared" si="19"/>
        <v>Alliance Health Woodward|Southeast KS Health Department</v>
      </c>
      <c r="B1281" t="s">
        <v>0</v>
      </c>
      <c r="C1281" t="s">
        <v>17</v>
      </c>
      <c r="D1281">
        <v>282.41666666666669</v>
      </c>
      <c r="E1281">
        <v>306.7405</v>
      </c>
    </row>
    <row r="1282" spans="1:5" x14ac:dyDescent="0.2">
      <c r="A1282" t="str">
        <f t="shared" ref="A1282:A1345" si="20">CONCATENATE(B1282,"|",C1282)</f>
        <v>Alliance Health Woodward|Salina Regional</v>
      </c>
      <c r="B1282" t="s">
        <v>0</v>
      </c>
      <c r="C1282" t="s">
        <v>16</v>
      </c>
      <c r="D1282">
        <v>226.0333333333333</v>
      </c>
      <c r="E1282">
        <v>239.49629999999999</v>
      </c>
    </row>
    <row r="1283" spans="1:5" x14ac:dyDescent="0.2">
      <c r="A1283" t="str">
        <f t="shared" si="20"/>
        <v>Alliance Health Woodward|Kansas Birth Justice Society</v>
      </c>
      <c r="B1283" t="s">
        <v>0</v>
      </c>
      <c r="C1283" t="s">
        <v>15</v>
      </c>
      <c r="D1283">
        <v>178.16666666666671</v>
      </c>
      <c r="E1283">
        <v>178.55410000000001</v>
      </c>
    </row>
    <row r="1284" spans="1:5" x14ac:dyDescent="0.2">
      <c r="A1284" t="str">
        <f t="shared" si="20"/>
        <v>Alliance Health Woodward|Flint Hills- Riley County Health Department</v>
      </c>
      <c r="B1284" t="s">
        <v>0</v>
      </c>
      <c r="C1284" t="s">
        <v>14</v>
      </c>
      <c r="D1284">
        <v>281.78333333333342</v>
      </c>
      <c r="E1284">
        <v>307.1046</v>
      </c>
    </row>
    <row r="1285" spans="1:5" x14ac:dyDescent="0.2">
      <c r="A1285" t="str">
        <f t="shared" si="20"/>
        <v>Alliance Health Woodward|Washington Regional Medical Center</v>
      </c>
      <c r="B1285" t="s">
        <v>0</v>
      </c>
      <c r="C1285" t="s">
        <v>13</v>
      </c>
      <c r="D1285">
        <v>284.3</v>
      </c>
      <c r="E1285">
        <v>314.20499999999998</v>
      </c>
    </row>
    <row r="1286" spans="1:5" x14ac:dyDescent="0.2">
      <c r="A1286" t="str">
        <f t="shared" si="20"/>
        <v>Alliance Health Woodward|South Central Medical Center</v>
      </c>
      <c r="B1286" t="s">
        <v>0</v>
      </c>
      <c r="C1286" t="s">
        <v>12</v>
      </c>
      <c r="D1286">
        <v>174.06666666666669</v>
      </c>
      <c r="E1286">
        <v>175.47829999999999</v>
      </c>
    </row>
    <row r="1287" spans="1:5" x14ac:dyDescent="0.2">
      <c r="A1287" t="str">
        <f t="shared" si="20"/>
        <v>Alliance Health Woodward|Andrew County</v>
      </c>
      <c r="B1287" t="s">
        <v>0</v>
      </c>
      <c r="C1287" t="s">
        <v>11</v>
      </c>
      <c r="D1287">
        <v>376.5</v>
      </c>
      <c r="E1287">
        <v>440.9051</v>
      </c>
    </row>
    <row r="1288" spans="1:5" x14ac:dyDescent="0.2">
      <c r="A1288" t="str">
        <f t="shared" si="20"/>
        <v>Alliance Health Woodward|Comanche County Memorial Hospital</v>
      </c>
      <c r="B1288" t="s">
        <v>0</v>
      </c>
      <c r="C1288" t="s">
        <v>10</v>
      </c>
      <c r="D1288">
        <v>166.93333333333331</v>
      </c>
      <c r="E1288">
        <v>173.114</v>
      </c>
    </row>
    <row r="1289" spans="1:5" x14ac:dyDescent="0.2">
      <c r="A1289" t="str">
        <f t="shared" si="20"/>
        <v>Alliance Health Woodward|Garfield County Health Department</v>
      </c>
      <c r="B1289" t="s">
        <v>0</v>
      </c>
      <c r="C1289" t="s">
        <v>9</v>
      </c>
      <c r="D1289">
        <v>85.61666666666666</v>
      </c>
      <c r="E1289">
        <v>89.010199999999998</v>
      </c>
    </row>
    <row r="1290" spans="1:5" x14ac:dyDescent="0.2">
      <c r="A1290" t="str">
        <f t="shared" si="20"/>
        <v>Alliance Health Woodward|Grady County</v>
      </c>
      <c r="B1290" t="s">
        <v>0</v>
      </c>
      <c r="C1290" t="s">
        <v>8</v>
      </c>
      <c r="D1290">
        <v>143.4666666666667</v>
      </c>
      <c r="E1290">
        <v>148.46729999999999</v>
      </c>
    </row>
    <row r="1291" spans="1:5" x14ac:dyDescent="0.2">
      <c r="A1291" t="str">
        <f t="shared" si="20"/>
        <v>Alliance Health Woodward|Beckham County</v>
      </c>
      <c r="B1291" t="s">
        <v>0</v>
      </c>
      <c r="C1291" t="s">
        <v>7</v>
      </c>
      <c r="D1291">
        <v>77.8</v>
      </c>
      <c r="E1291">
        <v>77.107200000000006</v>
      </c>
    </row>
    <row r="1292" spans="1:5" x14ac:dyDescent="0.2">
      <c r="A1292" t="str">
        <f t="shared" si="20"/>
        <v>Alliance Health Woodward|Custer County</v>
      </c>
      <c r="B1292" t="s">
        <v>0</v>
      </c>
      <c r="C1292" t="s">
        <v>6</v>
      </c>
      <c r="D1292">
        <v>78.833333333333329</v>
      </c>
      <c r="E1292">
        <v>79.7791</v>
      </c>
    </row>
    <row r="1293" spans="1:5" x14ac:dyDescent="0.2">
      <c r="A1293" t="str">
        <f t="shared" si="20"/>
        <v>Alliance Health Woodward|Pontotoc County</v>
      </c>
      <c r="B1293" t="s">
        <v>0</v>
      </c>
      <c r="C1293" t="s">
        <v>5</v>
      </c>
      <c r="D1293">
        <v>210.23333333333329</v>
      </c>
      <c r="E1293">
        <v>225.9554</v>
      </c>
    </row>
    <row r="1294" spans="1:5" x14ac:dyDescent="0.2">
      <c r="A1294" t="str">
        <f t="shared" si="20"/>
        <v>Alliance Health Woodward|McIntosh County</v>
      </c>
      <c r="B1294" t="s">
        <v>0</v>
      </c>
      <c r="C1294" t="s">
        <v>4</v>
      </c>
      <c r="D1294">
        <v>224.95</v>
      </c>
      <c r="E1294">
        <v>256.50510000000003</v>
      </c>
    </row>
    <row r="1295" spans="1:5" x14ac:dyDescent="0.2">
      <c r="A1295" t="str">
        <f t="shared" si="20"/>
        <v>Alliance Health Woodward|Carter County Health Department</v>
      </c>
      <c r="B1295" t="s">
        <v>0</v>
      </c>
      <c r="C1295" t="s">
        <v>3</v>
      </c>
      <c r="D1295">
        <v>217.2833333333333</v>
      </c>
      <c r="E1295">
        <v>238.61340000000001</v>
      </c>
    </row>
    <row r="1296" spans="1:5" x14ac:dyDescent="0.2">
      <c r="A1296" t="str">
        <f t="shared" si="20"/>
        <v>Alliance Health Woodward|Jackson County Altus</v>
      </c>
      <c r="B1296" t="s">
        <v>0</v>
      </c>
      <c r="C1296" t="s">
        <v>2</v>
      </c>
      <c r="D1296">
        <v>127.51666666666669</v>
      </c>
      <c r="E1296">
        <v>130.4811</v>
      </c>
    </row>
    <row r="1297" spans="1:5" x14ac:dyDescent="0.2">
      <c r="A1297" t="str">
        <f t="shared" si="20"/>
        <v>Alliance Health Woodward|McAlester Regional Health</v>
      </c>
      <c r="B1297" t="s">
        <v>0</v>
      </c>
      <c r="C1297" t="s">
        <v>1</v>
      </c>
      <c r="D1297">
        <v>239.06666666666669</v>
      </c>
      <c r="E1297">
        <v>270.80540000000002</v>
      </c>
    </row>
    <row r="1298" spans="1:5" x14ac:dyDescent="0.2">
      <c r="A1298" t="str">
        <f t="shared" si="20"/>
        <v>McAlester Regional Health|Oklahoma Mothers’ Milk Bank</v>
      </c>
      <c r="B1298" t="s">
        <v>1</v>
      </c>
      <c r="C1298" t="s">
        <v>36</v>
      </c>
      <c r="D1298">
        <v>113.3833333333333</v>
      </c>
      <c r="E1298">
        <v>131.88730000000001</v>
      </c>
    </row>
    <row r="1299" spans="1:5" x14ac:dyDescent="0.2">
      <c r="A1299" t="str">
        <f t="shared" si="20"/>
        <v>McAlester Regional Health|Integris Southwest</v>
      </c>
      <c r="B1299" t="s">
        <v>1</v>
      </c>
      <c r="C1299" t="s">
        <v>35</v>
      </c>
      <c r="D1299">
        <v>113.4666666666667</v>
      </c>
      <c r="E1299">
        <v>132.89019999999999</v>
      </c>
    </row>
    <row r="1300" spans="1:5" x14ac:dyDescent="0.2">
      <c r="A1300" t="str">
        <f t="shared" si="20"/>
        <v>McAlester Regional Health|Integris Baptist</v>
      </c>
      <c r="B1300" t="s">
        <v>1</v>
      </c>
      <c r="C1300" t="s">
        <v>34</v>
      </c>
      <c r="D1300">
        <v>120.9</v>
      </c>
      <c r="E1300">
        <v>138.98519999999999</v>
      </c>
    </row>
    <row r="1301" spans="1:5" x14ac:dyDescent="0.2">
      <c r="A1301" t="str">
        <f t="shared" si="20"/>
        <v>McAlester Regional Health|Cleveland County Moore</v>
      </c>
      <c r="B1301" t="s">
        <v>1</v>
      </c>
      <c r="C1301" t="s">
        <v>33</v>
      </c>
      <c r="D1301">
        <v>113.3333333333333</v>
      </c>
      <c r="E1301">
        <v>131.81460000000001</v>
      </c>
    </row>
    <row r="1302" spans="1:5" x14ac:dyDescent="0.2">
      <c r="A1302" t="str">
        <f t="shared" si="20"/>
        <v>McAlester Regional Health|Variety Care- Lafayette</v>
      </c>
      <c r="B1302" t="s">
        <v>1</v>
      </c>
      <c r="C1302" t="s">
        <v>32</v>
      </c>
      <c r="D1302">
        <v>112.9666666666667</v>
      </c>
      <c r="E1302">
        <v>132.27000000000001</v>
      </c>
    </row>
    <row r="1303" spans="1:5" x14ac:dyDescent="0.2">
      <c r="A1303" t="str">
        <f t="shared" si="20"/>
        <v>McAlester Regional Health|Edmond Hope Center</v>
      </c>
      <c r="B1303" t="s">
        <v>1</v>
      </c>
      <c r="C1303" t="s">
        <v>31</v>
      </c>
      <c r="D1303">
        <v>126.4666666666667</v>
      </c>
      <c r="E1303">
        <v>145.97309999999999</v>
      </c>
    </row>
    <row r="1304" spans="1:5" x14ac:dyDescent="0.2">
      <c r="A1304" t="str">
        <f t="shared" si="20"/>
        <v>McAlester Regional Health|Canadian Valley</v>
      </c>
      <c r="B1304" t="s">
        <v>1</v>
      </c>
      <c r="C1304" t="s">
        <v>30</v>
      </c>
      <c r="D1304">
        <v>126.3666666666667</v>
      </c>
      <c r="E1304">
        <v>146.37450000000001</v>
      </c>
    </row>
    <row r="1305" spans="1:5" x14ac:dyDescent="0.2">
      <c r="A1305" t="str">
        <f t="shared" si="20"/>
        <v>McAlester Regional Health|St. Anthony Shawnee Hospital</v>
      </c>
      <c r="B1305" t="s">
        <v>1</v>
      </c>
      <c r="C1305" t="s">
        <v>29</v>
      </c>
      <c r="D1305">
        <v>85.95</v>
      </c>
      <c r="E1305">
        <v>98.214600000000004</v>
      </c>
    </row>
    <row r="1306" spans="1:5" x14ac:dyDescent="0.2">
      <c r="A1306" t="str">
        <f t="shared" si="20"/>
        <v>McAlester Regional Health|OU Children’s Hospital</v>
      </c>
      <c r="B1306" t="s">
        <v>1</v>
      </c>
      <c r="C1306" t="s">
        <v>28</v>
      </c>
      <c r="D1306">
        <v>113.8666666666667</v>
      </c>
      <c r="E1306">
        <v>131.6816</v>
      </c>
    </row>
    <row r="1307" spans="1:5" x14ac:dyDescent="0.2">
      <c r="A1307" t="str">
        <f t="shared" si="20"/>
        <v>McAlester Regional Health|OBI</v>
      </c>
      <c r="B1307" t="s">
        <v>1</v>
      </c>
      <c r="C1307" t="s">
        <v>27</v>
      </c>
      <c r="D1307">
        <v>85.966666666666669</v>
      </c>
      <c r="E1307">
        <v>88.960499999999996</v>
      </c>
    </row>
    <row r="1308" spans="1:5" x14ac:dyDescent="0.2">
      <c r="A1308" t="str">
        <f t="shared" si="20"/>
        <v>McAlester Regional Health|Tulsa Hillcrest Hospital</v>
      </c>
      <c r="B1308" t="s">
        <v>1</v>
      </c>
      <c r="C1308" t="s">
        <v>26</v>
      </c>
      <c r="D1308">
        <v>90.61666666666666</v>
      </c>
      <c r="E1308">
        <v>94.165099999999995</v>
      </c>
    </row>
    <row r="1309" spans="1:5" x14ac:dyDescent="0.2">
      <c r="A1309" t="str">
        <f t="shared" si="20"/>
        <v>McAlester Regional Health|St. John Owasso</v>
      </c>
      <c r="B1309" t="s">
        <v>1</v>
      </c>
      <c r="C1309" t="s">
        <v>25</v>
      </c>
      <c r="D1309">
        <v>104.48333333333331</v>
      </c>
      <c r="E1309">
        <v>110.3176</v>
      </c>
    </row>
    <row r="1310" spans="1:5" x14ac:dyDescent="0.2">
      <c r="A1310" t="str">
        <f t="shared" si="20"/>
        <v>McAlester Regional Health|Jane Phillips Medical Center</v>
      </c>
      <c r="B1310" t="s">
        <v>1</v>
      </c>
      <c r="C1310" t="s">
        <v>24</v>
      </c>
      <c r="D1310">
        <v>127.01666666666669</v>
      </c>
      <c r="E1310">
        <v>135.89760000000001</v>
      </c>
    </row>
    <row r="1311" spans="1:5" x14ac:dyDescent="0.2">
      <c r="A1311" t="str">
        <f t="shared" si="20"/>
        <v>McAlester Regional Health|YWCA South</v>
      </c>
      <c r="B1311" t="s">
        <v>1</v>
      </c>
      <c r="C1311" t="s">
        <v>23</v>
      </c>
      <c r="D1311">
        <v>89.933333333333337</v>
      </c>
      <c r="E1311">
        <v>94.646000000000001</v>
      </c>
    </row>
    <row r="1312" spans="1:5" x14ac:dyDescent="0.2">
      <c r="A1312" t="str">
        <f t="shared" si="20"/>
        <v>McAlester Regional Health|YWCA East</v>
      </c>
      <c r="B1312" t="s">
        <v>1</v>
      </c>
      <c r="C1312" t="s">
        <v>22</v>
      </c>
      <c r="D1312">
        <v>93</v>
      </c>
      <c r="E1312">
        <v>96.164599999999993</v>
      </c>
    </row>
    <row r="1313" spans="1:5" x14ac:dyDescent="0.2">
      <c r="A1313" t="str">
        <f t="shared" si="20"/>
        <v>McAlester Regional Health|KUMC - University of Kansas Health System</v>
      </c>
      <c r="B1313" t="s">
        <v>1</v>
      </c>
      <c r="C1313" t="s">
        <v>21</v>
      </c>
      <c r="D1313">
        <v>302.38333333333333</v>
      </c>
      <c r="E1313">
        <v>318.536</v>
      </c>
    </row>
    <row r="1314" spans="1:5" x14ac:dyDescent="0.2">
      <c r="A1314" t="str">
        <f t="shared" si="20"/>
        <v>McAlester Regional Health|KUMC - Kansas Health Systems – St. Francis Campus</v>
      </c>
      <c r="B1314" t="s">
        <v>1</v>
      </c>
      <c r="C1314" t="s">
        <v>20</v>
      </c>
      <c r="D1314">
        <v>309.61666666666667</v>
      </c>
      <c r="E1314">
        <v>317.7593</v>
      </c>
    </row>
    <row r="1315" spans="1:5" x14ac:dyDescent="0.2">
      <c r="A1315" t="str">
        <f t="shared" si="20"/>
        <v>McAlester Regional Health|Shawnee Mission MC</v>
      </c>
      <c r="B1315" t="s">
        <v>1</v>
      </c>
      <c r="C1315" t="s">
        <v>19</v>
      </c>
      <c r="D1315">
        <v>293.89999999999998</v>
      </c>
      <c r="E1315">
        <v>310.08409999999998</v>
      </c>
    </row>
    <row r="1316" spans="1:5" x14ac:dyDescent="0.2">
      <c r="A1316" t="str">
        <f t="shared" si="20"/>
        <v>McAlester Regional Health|Woven Leaf</v>
      </c>
      <c r="B1316" t="s">
        <v>1</v>
      </c>
      <c r="C1316" t="s">
        <v>18</v>
      </c>
      <c r="D1316">
        <v>206.7</v>
      </c>
      <c r="E1316">
        <v>216.08619999999999</v>
      </c>
    </row>
    <row r="1317" spans="1:5" x14ac:dyDescent="0.2">
      <c r="A1317" t="str">
        <f t="shared" si="20"/>
        <v>McAlester Regional Health|Southeast KS Health Department</v>
      </c>
      <c r="B1317" t="s">
        <v>1</v>
      </c>
      <c r="C1317" t="s">
        <v>17</v>
      </c>
      <c r="D1317">
        <v>222.01666666666671</v>
      </c>
      <c r="E1317">
        <v>233.1018</v>
      </c>
    </row>
    <row r="1318" spans="1:5" x14ac:dyDescent="0.2">
      <c r="A1318" t="str">
        <f t="shared" si="20"/>
        <v>McAlester Regional Health|Salina Regional</v>
      </c>
      <c r="B1318" t="s">
        <v>1</v>
      </c>
      <c r="C1318" t="s">
        <v>16</v>
      </c>
      <c r="D1318">
        <v>304.48333333333329</v>
      </c>
      <c r="E1318">
        <v>354.91669999999999</v>
      </c>
    </row>
    <row r="1319" spans="1:5" x14ac:dyDescent="0.2">
      <c r="A1319" t="str">
        <f t="shared" si="20"/>
        <v>McAlester Regional Health|Kansas Birth Justice Society</v>
      </c>
      <c r="B1319" t="s">
        <v>1</v>
      </c>
      <c r="C1319" t="s">
        <v>15</v>
      </c>
      <c r="D1319">
        <v>231.98333333333329</v>
      </c>
      <c r="E1319">
        <v>267.71589999999998</v>
      </c>
    </row>
    <row r="1320" spans="1:5" x14ac:dyDescent="0.2">
      <c r="A1320" t="str">
        <f t="shared" si="20"/>
        <v>McAlester Regional Health|Flint Hills- Riley County Health Department</v>
      </c>
      <c r="B1320" t="s">
        <v>1</v>
      </c>
      <c r="C1320" t="s">
        <v>14</v>
      </c>
      <c r="D1320">
        <v>346.05</v>
      </c>
      <c r="E1320">
        <v>349.42</v>
      </c>
    </row>
    <row r="1321" spans="1:5" x14ac:dyDescent="0.2">
      <c r="A1321" t="str">
        <f t="shared" si="20"/>
        <v>McAlester Regional Health|Washington Regional Medical Center</v>
      </c>
      <c r="B1321" t="s">
        <v>1</v>
      </c>
      <c r="C1321" t="s">
        <v>13</v>
      </c>
      <c r="D1321">
        <v>141.16666666666671</v>
      </c>
      <c r="E1321">
        <v>166.28829999999999</v>
      </c>
    </row>
    <row r="1322" spans="1:5" x14ac:dyDescent="0.2">
      <c r="A1322" t="str">
        <f t="shared" si="20"/>
        <v>McAlester Regional Health|South Central Medical Center</v>
      </c>
      <c r="B1322" t="s">
        <v>1</v>
      </c>
      <c r="C1322" t="s">
        <v>12</v>
      </c>
      <c r="D1322">
        <v>129.41666666666671</v>
      </c>
      <c r="E1322">
        <v>120.7709</v>
      </c>
    </row>
    <row r="1323" spans="1:5" x14ac:dyDescent="0.2">
      <c r="A1323" t="str">
        <f t="shared" si="20"/>
        <v>McAlester Regional Health|Andrew County</v>
      </c>
      <c r="B1323" t="s">
        <v>1</v>
      </c>
      <c r="C1323" t="s">
        <v>11</v>
      </c>
      <c r="D1323">
        <v>355.25</v>
      </c>
      <c r="E1323">
        <v>382.31479999999999</v>
      </c>
    </row>
    <row r="1324" spans="1:5" x14ac:dyDescent="0.2">
      <c r="A1324" t="str">
        <f t="shared" si="20"/>
        <v>McAlester Regional Health|Comanche County Memorial Hospital</v>
      </c>
      <c r="B1324" t="s">
        <v>1</v>
      </c>
      <c r="C1324" t="s">
        <v>10</v>
      </c>
      <c r="D1324">
        <v>179.35</v>
      </c>
      <c r="E1324">
        <v>213.50749999999999</v>
      </c>
    </row>
    <row r="1325" spans="1:5" x14ac:dyDescent="0.2">
      <c r="A1325" t="str">
        <f t="shared" si="20"/>
        <v>McAlester Regional Health|Garfield County Health Department</v>
      </c>
      <c r="B1325" t="s">
        <v>1</v>
      </c>
      <c r="C1325" t="s">
        <v>9</v>
      </c>
      <c r="D1325">
        <v>186.85</v>
      </c>
      <c r="E1325">
        <v>209.19579999999999</v>
      </c>
    </row>
    <row r="1326" spans="1:5" x14ac:dyDescent="0.2">
      <c r="A1326" t="str">
        <f t="shared" si="20"/>
        <v>McAlester Regional Health|Grady County</v>
      </c>
      <c r="B1326" t="s">
        <v>1</v>
      </c>
      <c r="C1326" t="s">
        <v>8</v>
      </c>
      <c r="D1326">
        <v>144.6</v>
      </c>
      <c r="E1326">
        <v>169.25280000000001</v>
      </c>
    </row>
    <row r="1327" spans="1:5" x14ac:dyDescent="0.2">
      <c r="A1327" t="str">
        <f t="shared" si="20"/>
        <v>McAlester Regional Health|Beckham County</v>
      </c>
      <c r="B1327" t="s">
        <v>1</v>
      </c>
      <c r="C1327" t="s">
        <v>7</v>
      </c>
      <c r="D1327">
        <v>203.7833333333333</v>
      </c>
      <c r="E1327">
        <v>242.60380000000001</v>
      </c>
    </row>
    <row r="1328" spans="1:5" x14ac:dyDescent="0.2">
      <c r="A1328" t="str">
        <f t="shared" si="20"/>
        <v>McAlester Regional Health|Custer County</v>
      </c>
      <c r="B1328" t="s">
        <v>1</v>
      </c>
      <c r="C1328" t="s">
        <v>6</v>
      </c>
      <c r="D1328">
        <v>184.68333333333331</v>
      </c>
      <c r="E1328">
        <v>217.03190000000001</v>
      </c>
    </row>
    <row r="1329" spans="1:5" x14ac:dyDescent="0.2">
      <c r="A1329" t="str">
        <f t="shared" si="20"/>
        <v>McAlester Regional Health|Pontotoc County</v>
      </c>
      <c r="B1329" t="s">
        <v>1</v>
      </c>
      <c r="C1329" t="s">
        <v>5</v>
      </c>
      <c r="D1329">
        <v>61.4</v>
      </c>
      <c r="E1329">
        <v>60.438899999999997</v>
      </c>
    </row>
    <row r="1330" spans="1:5" x14ac:dyDescent="0.2">
      <c r="A1330" t="str">
        <f t="shared" si="20"/>
        <v>McAlester Regional Health|McIntosh County</v>
      </c>
      <c r="B1330" t="s">
        <v>1</v>
      </c>
      <c r="C1330" t="s">
        <v>4</v>
      </c>
      <c r="D1330">
        <v>41.45</v>
      </c>
      <c r="E1330">
        <v>43.381700000000002</v>
      </c>
    </row>
    <row r="1331" spans="1:5" x14ac:dyDescent="0.2">
      <c r="A1331" t="str">
        <f t="shared" si="20"/>
        <v>McAlester Regional Health|Carter County Health Department</v>
      </c>
      <c r="B1331" t="s">
        <v>1</v>
      </c>
      <c r="C1331" t="s">
        <v>3</v>
      </c>
      <c r="D1331">
        <v>123.55</v>
      </c>
      <c r="E1331">
        <v>117.2677</v>
      </c>
    </row>
    <row r="1332" spans="1:5" x14ac:dyDescent="0.2">
      <c r="A1332" t="str">
        <f t="shared" si="20"/>
        <v>McAlester Regional Health|Jackson County Altus</v>
      </c>
      <c r="B1332" t="s">
        <v>1</v>
      </c>
      <c r="C1332" t="s">
        <v>2</v>
      </c>
      <c r="D1332">
        <v>225.5333333333333</v>
      </c>
      <c r="E1332">
        <v>265.14780000000002</v>
      </c>
    </row>
    <row r="1333" spans="1:5" x14ac:dyDescent="0.2">
      <c r="A1333" t="str">
        <f t="shared" si="20"/>
        <v>McAlester Regional Health|Alliance Health Woodward</v>
      </c>
      <c r="B1333" t="s">
        <v>1</v>
      </c>
      <c r="C1333" t="s">
        <v>0</v>
      </c>
      <c r="D1333">
        <v>238.66666666666671</v>
      </c>
      <c r="E1333">
        <v>271.27019999999999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Summerville</dc:creator>
  <cp:lastModifiedBy>Natalia Summerville</cp:lastModifiedBy>
  <dcterms:created xsi:type="dcterms:W3CDTF">2025-07-30T14:40:25Z</dcterms:created>
  <dcterms:modified xsi:type="dcterms:W3CDTF">2025-07-30T15:57:43Z</dcterms:modified>
</cp:coreProperties>
</file>